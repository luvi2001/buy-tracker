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massl-my.sharepoint.com/personal/patricksh_masholdings_com/Documents/"/>
    </mc:Choice>
  </mc:AlternateContent>
  <xr:revisionPtr revIDLastSave="971" documentId="8_{67EAD824-74EC-46BB-86D5-A95C97F6DC73}" xr6:coauthVersionLast="47" xr6:coauthVersionMax="47" xr10:uidLastSave="{AF6618F2-2C00-4DBB-BF53-615B7AA8C49D}"/>
  <bookViews>
    <workbookView xWindow="-110" yWindow="-110" windowWidth="19420" windowHeight="10300" tabRatio="500" activeTab="1" xr2:uid="{00000000-000D-0000-FFFF-FFFF00000000}"/>
  </bookViews>
  <sheets>
    <sheet name="TRACKER" sheetId="2" r:id="rId1"/>
    <sheet name="DASHBOARD" sheetId="1" r:id="rId2"/>
    <sheet name="REFERENCE" sheetId="3" state="hidden" r:id="rId3"/>
  </sheets>
  <definedNames>
    <definedName name="_xlnm._FilterDatabase" localSheetId="0" hidden="1">TRACKER!$A$2:$V$39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9" i="2" l="1"/>
  <c r="H39" i="2"/>
  <c r="C39" i="2"/>
  <c r="C9" i="1" s="1"/>
  <c r="E30" i="1" l="1"/>
  <c r="E39" i="1" l="1"/>
  <c r="E37" i="1"/>
  <c r="E20" i="1" l="1"/>
  <c r="E22" i="1"/>
  <c r="E24" i="1"/>
  <c r="E26" i="1"/>
  <c r="E28" i="1"/>
  <c r="E35" i="1"/>
  <c r="F9" i="1"/>
  <c r="E39" i="2"/>
  <c r="E9" i="1" s="1"/>
  <c r="D9" i="1"/>
  <c r="A39" i="2"/>
  <c r="B9" i="1" s="1"/>
  <c r="E43" i="1"/>
  <c r="E4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tc={44E8F6A7-4B77-4441-98EC-D4376DB50618}</author>
    <author>tc={41377209-3D5E-4ECD-A841-E967F444C72E}</author>
  </authors>
  <commentList>
    <comment ref="A31" authorId="0" shapeId="0" xr:uid="{44E8F6A7-4B77-4441-98EC-D4376DB5061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Thread Shade Pending for One Color </t>
      </text>
    </comment>
    <comment ref="F31" authorId="1" shapeId="0" xr:uid="{41377209-3D5E-4ECD-A841-E967F444C72E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Two FG’s are pending - Still not received PCD’S</t>
      </text>
    </comment>
  </commentList>
</comments>
</file>

<file path=xl/sharedStrings.xml><?xml version="1.0" encoding="utf-8"?>
<sst xmlns="http://schemas.openxmlformats.org/spreadsheetml/2006/main" count="402" uniqueCount="150">
  <si>
    <t xml:space="preserve">  ORDER INFORMATION</t>
  </si>
  <si>
    <t>①  ACTIVE SO &amp; FG CREATION</t>
  </si>
  <si>
    <t>②  BOM CREATION</t>
  </si>
  <si>
    <t>③  SMV UPDATE</t>
  </si>
  <si>
    <t>④  PLANT EXT &amp; CODE CHANGE</t>
  </si>
  <si>
    <t>⑤  CR RELEASE</t>
  </si>
  <si>
    <t>⑥  PO</t>
  </si>
  <si>
    <t>REMARKS / NOTES</t>
  </si>
  <si>
    <t>BUY ORDER NAME</t>
  </si>
  <si>
    <t>BUY QTY</t>
  </si>
  <si>
    <t>TOTAL SO</t>
  </si>
  <si>
    <t>TOTAL FG</t>
  </si>
  <si>
    <t>REF ACTIVE FG</t>
  </si>
  <si>
    <t>DEADLINE</t>
  </si>
  <si>
    <t>OVERALL
STATUS</t>
  </si>
  <si>
    <t>CURRENT STEP</t>
  </si>
  <si>
    <t>DATE
DONE</t>
  </si>
  <si>
    <t>STATUS</t>
  </si>
  <si>
    <t>SE GYMSHARK – AW26 Shadow JAN Buy – Contourline</t>
  </si>
  <si>
    <t>—</t>
  </si>
  <si>
    <t>COMPLETE</t>
  </si>
  <si>
    <t>→ ② BOM CREATION</t>
  </si>
  <si>
    <t>✅ DONE</t>
  </si>
  <si>
    <t>Active SO &amp; FG done (except 2 samples). BOM file received from Suraj. REF FG: 7001446070.</t>
  </si>
  <si>
    <t>LULU – Sleekline – FA26 – LW1GOWS – Transfer CNTL</t>
  </si>
  <si>
    <t>10.04.2026</t>
  </si>
  <si>
    <t>Active SO &amp; FG DONE. BOM PENDING – needs Dilshan's assist (4 fabrics). Deadline: 10.04.2026.</t>
  </si>
  <si>
    <t>SE GYMSHARK – SS26 Shadow DEC Buy – Contourline</t>
  </si>
  <si>
    <t>20.04.2026</t>
  </si>
  <si>
    <t>✅ ALL COMPLETE</t>
  </si>
  <si>
    <t>🎉 FULLY COMPLETE – PO DONE. REF FG: 7001443456.</t>
  </si>
  <si>
    <t>SE GYMSHARK - SS26 Shadow Buy - Asialine</t>
  </si>
  <si>
    <t>24.04.2026</t>
  </si>
  <si>
    <t>→ ④ PLANT EXT &amp; CODE CHANGE</t>
  </si>
  <si>
    <t>Steps 1–3 done. Plant code error FIXED – mailed to Kishori. At Step 4. REF FG: 7001445952.</t>
  </si>
  <si>
    <t>SE GYMSHARK – SS26 Soft Sculpt Re-buy – Shadowline</t>
  </si>
  <si>
    <t>30.04.2026</t>
  </si>
  <si>
    <t>SMV follow-up done. Plant change pending (follow-up done). Currently at Step 4.</t>
  </si>
  <si>
    <t>SE GYMSHARK – AW26 Distance IYKYK Buy – Sleekline</t>
  </si>
  <si>
    <t>Steps 1–2 done. SMV UPDATE PENDING – follow-up done. REF FG: 7001447155.</t>
  </si>
  <si>
    <t>SE GYMSHARK – M26 ONYX Buy – Transfer from ASL</t>
  </si>
  <si>
    <t>→ ⑥  PO</t>
  </si>
  <si>
    <t>Steps 1–4 done. CR Release pending. PO pending. Urgent – fabric delay transfer from ASL.</t>
  </si>
  <si>
    <t>LULU – Sleekline – 6FA – Add Qtys</t>
  </si>
  <si>
    <t>23.03.2026</t>
  </si>
  <si>
    <t>Active SO &amp; FG DONE. BOM PROCESSING. Deadline: 23.03.2026.</t>
  </si>
  <si>
    <t>LULU – Sleekline – 6SP – Add Qtys</t>
  </si>
  <si>
    <t>20.03.2026</t>
  </si>
  <si>
    <t>→ ⑤ CR RELEASE</t>
  </si>
  <si>
    <t>Active SO &amp; FG DONE. BOM next. Deadline: 20.03.2026.</t>
  </si>
  <si>
    <t xml:space="preserve">SE GYMSHARK – AW26 Shadow JAN Buy – Contourline (Add-on) </t>
  </si>
  <si>
    <t>IN PROGRESS</t>
  </si>
  <si>
    <t>⏳ PENDING</t>
  </si>
  <si>
    <t>Active SO &amp; FG DONE. BOM next.</t>
  </si>
  <si>
    <t>SE GYMSHARK - AW26 - GEO BUY - Sleekline</t>
  </si>
  <si>
    <t>LULU -Seamless Orders  from H056 &amp; H150 -FA26- Sleekline</t>
  </si>
  <si>
    <t>LULU -Seamless Orders  from H150 -FA26- - Contourline</t>
  </si>
  <si>
    <t>SE GYMSHARK - SS26 Soft Sculpt - B2C7T - Contourline</t>
  </si>
  <si>
    <t>SE GYMSHARK -6AW - Soft Sculpt MAR buy 1- SLK</t>
  </si>
  <si>
    <t>SE GYMSHARK 6AW- GEO BUY MARCH-- SLK</t>
  </si>
  <si>
    <t>SE GYMSHARK -AW26 - Shadow MAR buy - SLK</t>
  </si>
  <si>
    <t>SE GYMSHARK - AW26 - SOFT SCULPT MAR BUY-1 - Shadowline</t>
  </si>
  <si>
    <t xml:space="preserve">  ⚙️  6-STEP BUY COMPLETION PROCESS FLOW  →  Each column pair = DATE DONE + STATUS  →  Fill date when step is completed</t>
  </si>
  <si>
    <t>①  ACTIVE SO
&amp; FG CREATION</t>
  </si>
  <si>
    <t>②  BOM
CREATION</t>
  </si>
  <si>
    <t>③  SMV
UPDATE</t>
  </si>
  <si>
    <t>④  PLANT EXT &amp;
CODE CHANGE</t>
  </si>
  <si>
    <t>⑤  CR
RELEASE</t>
  </si>
  <si>
    <t>OVERALL STATUS LEGEND</t>
  </si>
  <si>
    <t xml:space="preserve">  COMPLETE</t>
  </si>
  <si>
    <t xml:space="preserve">  IN PROGRESS</t>
  </si>
  <si>
    <t xml:space="preserve">  BLOCKED</t>
  </si>
  <si>
    <t xml:space="preserve">  NOT STARTED</t>
  </si>
  <si>
    <t xml:space="preserve">  OVERDUE</t>
  </si>
  <si>
    <t>STEP STATUS LEGEND</t>
  </si>
  <si>
    <t xml:space="preserve">  ✅ DONE</t>
  </si>
  <si>
    <t xml:space="preserve">  🔄 IN PROGRESS</t>
  </si>
  <si>
    <t xml:space="preserve">  ⏳ PENDING</t>
  </si>
  <si>
    <t xml:space="preserve">  ❌ BLOCKED</t>
  </si>
  <si>
    <t>TOTAL
BUYS</t>
  </si>
  <si>
    <t>TOTAL
QTY</t>
  </si>
  <si>
    <t>✅  COMPLETE</t>
  </si>
  <si>
    <t>🔵  IN PROGRESS</t>
  </si>
  <si>
    <t>❌  BLOCKED</t>
  </si>
  <si>
    <t xml:space="preserve">  ⚙️  ACTIVE ORDERS PER STEP</t>
  </si>
  <si>
    <t xml:space="preserve">  ①  ACTIVE SO &amp; FG CREATION</t>
  </si>
  <si>
    <t>orders active</t>
  </si>
  <si>
    <t xml:space="preserve">  ②  BOM CREATION</t>
  </si>
  <si>
    <t xml:space="preserve">  ③  SMV UPDATE</t>
  </si>
  <si>
    <t xml:space="preserve">  ④  PLANT EXT &amp; CODE CHANGE</t>
  </si>
  <si>
    <t xml:space="preserve">  ⑤  CR RELEASE</t>
  </si>
  <si>
    <t xml:space="preserve">  ⑥  PO</t>
  </si>
  <si>
    <t xml:space="preserve">  📋  STATUS BREAKDOWN</t>
  </si>
  <si>
    <t>orders</t>
  </si>
  <si>
    <t xml:space="preserve">  ⛔  ITEMS NEEDING ATTENTION</t>
  </si>
  <si>
    <t>BUY ORDER</t>
  </si>
  <si>
    <t>AT STEP</t>
  </si>
  <si>
    <t>SE VUORI – VM1198 – Transfer to Contourline</t>
  </si>
  <si>
    <t>⛔ ① ACTIVE SO &amp; FG</t>
  </si>
  <si>
    <t>BLOCKED</t>
  </si>
  <si>
    <t xml:space="preserve">  → Open 'TRACKER' sheet to update step dates and statuses</t>
  </si>
  <si>
    <t xml:space="preserve">  GYMSHARK – PO / SO REFERENCE DATA  (from original Sheet1)</t>
  </si>
  <si>
    <t>SO / REF NO</t>
  </si>
  <si>
    <t>TYPE</t>
  </si>
  <si>
    <t>STYLE 1</t>
  </si>
  <si>
    <t>STYLE 2</t>
  </si>
  <si>
    <t>PO NUMBER</t>
  </si>
  <si>
    <t>UNITS</t>
  </si>
  <si>
    <t>SUPPLIER</t>
  </si>
  <si>
    <t>COLOURWAY</t>
  </si>
  <si>
    <t>MODE</t>
  </si>
  <si>
    <t>QTY</t>
  </si>
  <si>
    <t>AMITY</t>
  </si>
  <si>
    <t>BB2J</t>
  </si>
  <si>
    <t>Sea</t>
  </si>
  <si>
    <t>GYMSHARK</t>
  </si>
  <si>
    <t>Bulk</t>
  </si>
  <si>
    <t>B5B9N</t>
  </si>
  <si>
    <t>NBZG</t>
  </si>
  <si>
    <t>B4B7G</t>
  </si>
  <si>
    <t>Source: Original uploaded file – Sheet1. Retained as reference data only.</t>
  </si>
  <si>
    <t>20.05.2026</t>
  </si>
  <si>
    <t>11.05.2026</t>
  </si>
  <si>
    <t>SE GYMSHARK -6AW- Shadow buy - SLK</t>
  </si>
  <si>
    <t xml:space="preserve">SE GYMSHARK - 6AW- GEO Range- A4B5F &amp; A5A2D 
</t>
  </si>
  <si>
    <t>LULU -Seamless Orders - Sleekline - 6FA- later transfer</t>
  </si>
  <si>
    <t>LULU -Seamless Orders - Sleekline - WI26 buy Allocation</t>
  </si>
  <si>
    <t>FALL 26 MAR LULU Chase-SLK</t>
  </si>
  <si>
    <t>02.06.2026</t>
  </si>
  <si>
    <t>AW26 DISTANCE-A4B5F - SLK</t>
  </si>
  <si>
    <t>A1B2A transfer ASL to SLK</t>
  </si>
  <si>
    <t>LW3DOBS- SLK</t>
  </si>
  <si>
    <t>A1B5B transfer from CNTR to SLK</t>
  </si>
  <si>
    <t xml:space="preserve"> Gymshark TRNF to ASL from SLK </t>
  </si>
  <si>
    <t xml:space="preserve">AW26 Shadow MayBuy1-SLK </t>
  </si>
  <si>
    <t>18.06.2026</t>
  </si>
  <si>
    <t>16.06.2026</t>
  </si>
  <si>
    <t>WI26-LULU ADD - SLK</t>
  </si>
  <si>
    <t>WI26-Chase-SLK</t>
  </si>
  <si>
    <t>02.07.2026</t>
  </si>
  <si>
    <t>LAKSHAN</t>
  </si>
  <si>
    <t>RESPONSIBLE</t>
  </si>
  <si>
    <t xml:space="preserve">Shadowline -B6C4T </t>
  </si>
  <si>
    <t>06.07.2026</t>
  </si>
  <si>
    <t>AW26 SOFT SCULPT MARBUY - B7C2V - SLK</t>
  </si>
  <si>
    <t>AW26 SOFT SCULPT MARBUY - B6C3Y - CONTRL</t>
  </si>
  <si>
    <t>AW26 SOFTSCULPT MARBUY2&amp;3-B6C4T- CONTRL</t>
  </si>
  <si>
    <t>18.07.2026</t>
  </si>
  <si>
    <t xml:space="preserve">7001425058 - H056
7001421659 - H150
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</si>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</sst>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charset val="1"/>
    </font>
    <font>
      <b/>
      <sz val="18"/>
      <color rgb="FFFFFFFF"/>
      <name val="Calibri"/>
      <family val="2"/>
    </font>
    <font>
      <i/>
      <sz val="9"/>
      <color rgb="FF717D7E"/>
      <name val="Calibri"/>
      <family val="2"/>
    </font>
    <font>
      <sz val="10"/>
      <color rgb="FF000000"/>
      <name val="Calibri"/>
      <family val="2"/>
    </font>
    <font>
      <b/>
      <sz val="9"/>
      <color rgb="FFFFFFFF"/>
      <name val="Calibri"/>
      <family val="2"/>
    </font>
    <font>
      <b/>
      <sz val="30"/>
      <color rgb="FF1A2F50"/>
      <name val="Calibri"/>
      <family val="2"/>
    </font>
    <font>
      <b/>
      <sz val="30"/>
      <color rgb="FF1F6FBF"/>
      <name val="Calibri"/>
      <family val="2"/>
    </font>
    <font>
      <b/>
      <sz val="30"/>
      <color rgb="FF1E8449"/>
      <name val="Calibri"/>
      <family val="2"/>
    </font>
    <font>
      <b/>
      <sz val="30"/>
      <color rgb="FF2E86C1"/>
      <name val="Calibri"/>
      <family val="2"/>
    </font>
    <font>
      <b/>
      <sz val="30"/>
      <color rgb="FFC0392B"/>
      <name val="Calibri"/>
      <family val="2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i/>
      <sz val="8"/>
      <color rgb="FF717D7E"/>
      <name val="Calibri"/>
      <family val="2"/>
    </font>
    <font>
      <b/>
      <sz val="10"/>
      <color rgb="FFFFFFFF"/>
      <name val="Calibri"/>
      <family val="2"/>
    </font>
    <font>
      <sz val="8"/>
      <color rgb="FF1A1A1A"/>
      <name val="Calibri"/>
      <family val="2"/>
    </font>
    <font>
      <b/>
      <sz val="8"/>
      <color rgb="FFC0392B"/>
      <name val="Calibri"/>
      <family val="2"/>
    </font>
    <font>
      <b/>
      <sz val="8"/>
      <color rgb="FFFFFFFF"/>
      <name val="Calibri"/>
      <family val="2"/>
    </font>
    <font>
      <sz val="9"/>
      <color rgb="FF000000"/>
      <name val="Calibri"/>
      <family val="2"/>
    </font>
    <font>
      <b/>
      <sz val="12"/>
      <color rgb="FFFFFFFF"/>
      <name val="Calibri"/>
      <family val="2"/>
    </font>
    <font>
      <sz val="14"/>
      <color theme="1"/>
      <name val="Calibri"/>
      <family val="2"/>
    </font>
    <font>
      <b/>
      <sz val="14"/>
      <color rgb="FF1A1A1A"/>
      <name val="Calibri"/>
      <family val="2"/>
    </font>
    <font>
      <b/>
      <sz val="14"/>
      <color rgb="FF1A2F50"/>
      <name val="Calibri"/>
      <family val="2"/>
    </font>
    <font>
      <sz val="14"/>
      <color rgb="FF000000"/>
      <name val="Calibri"/>
      <family val="2"/>
    </font>
    <font>
      <b/>
      <sz val="14"/>
      <color rgb="FF6C3483"/>
      <name val="Calibri"/>
      <family val="2"/>
    </font>
    <font>
      <sz val="14"/>
      <color rgb="FFBDC3C7"/>
      <name val="Calibri"/>
      <family val="2"/>
    </font>
    <font>
      <i/>
      <sz val="14"/>
      <color rgb="FF717D7E"/>
      <name val="Calibri"/>
      <family val="2"/>
    </font>
    <font>
      <b/>
      <sz val="14"/>
      <color rgb="FF333333"/>
      <name val="Calibri"/>
      <family val="2"/>
    </font>
    <font>
      <i/>
      <sz val="14"/>
      <color rgb="FF333333"/>
      <name val="Calibri"/>
      <family val="2"/>
    </font>
    <font>
      <b/>
      <sz val="14"/>
      <color rgb="FF1E8449"/>
      <name val="Calibri"/>
      <family val="2"/>
    </font>
    <font>
      <b/>
      <sz val="14"/>
      <color rgb="FF000000"/>
      <name val="Calibri"/>
      <family val="2"/>
    </font>
    <font>
      <i/>
      <sz val="14"/>
      <color rgb="FF000000"/>
      <name val="Calibri"/>
      <family val="2"/>
    </font>
    <font>
      <b/>
      <sz val="14"/>
      <color rgb="FF7030A0"/>
      <name val="Calibri"/>
      <family val="2"/>
    </font>
    <font>
      <b/>
      <sz val="14"/>
      <color theme="1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1A2F50"/>
        <bgColor rgb="FF1E3A5F"/>
      </patternFill>
    </fill>
    <fill>
      <patternFill patternType="solid">
        <fgColor rgb="FF1E3A5F"/>
        <bgColor rgb="FF1A2F50"/>
      </patternFill>
    </fill>
    <fill>
      <patternFill patternType="solid">
        <fgColor rgb="FFF8F9FA"/>
        <bgColor rgb="FFFAFAFA"/>
      </patternFill>
    </fill>
    <fill>
      <patternFill patternType="solid">
        <fgColor rgb="FF1F6FBF"/>
        <bgColor rgb="FF1A6B8A"/>
      </patternFill>
    </fill>
    <fill>
      <patternFill patternType="solid">
        <fgColor rgb="FF1E8449"/>
        <bgColor rgb="FF117A65"/>
      </patternFill>
    </fill>
    <fill>
      <patternFill patternType="solid">
        <fgColor rgb="FF2E86C1"/>
        <bgColor rgb="FF1F6FBF"/>
      </patternFill>
    </fill>
    <fill>
      <patternFill patternType="solid">
        <fgColor rgb="FFC0392B"/>
        <bgColor rgb="FFB03A2E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ADBD8"/>
        <bgColor rgb="FFEDE7F6"/>
      </patternFill>
    </fill>
    <fill>
      <patternFill patternType="solid">
        <fgColor rgb="FF1A6B8A"/>
        <bgColor rgb="FF117A65"/>
      </patternFill>
    </fill>
    <fill>
      <patternFill patternType="solid">
        <fgColor rgb="FF7D3C98"/>
        <bgColor rgb="FF6C3483"/>
      </patternFill>
    </fill>
    <fill>
      <patternFill patternType="solid">
        <fgColor rgb="FFCA6F1E"/>
        <bgColor rgb="FFE67E22"/>
      </patternFill>
    </fill>
    <fill>
      <patternFill patternType="solid">
        <fgColor rgb="FFB03A2E"/>
        <bgColor rgb="FFC0392B"/>
      </patternFill>
    </fill>
    <fill>
      <patternFill patternType="solid">
        <fgColor rgb="FF117A65"/>
        <bgColor rgb="FF1E8449"/>
      </patternFill>
    </fill>
    <fill>
      <patternFill patternType="solid">
        <fgColor rgb="FF717D7E"/>
        <bgColor rgb="FF666699"/>
      </patternFill>
    </fill>
    <fill>
      <patternFill patternType="solid">
        <fgColor rgb="FFE67E22"/>
        <bgColor rgb="FFCA6F1E"/>
      </patternFill>
    </fill>
    <fill>
      <patternFill patternType="solid">
        <fgColor rgb="FFEDE7F6"/>
        <bgColor rgb="FFECF0F1"/>
      </patternFill>
    </fill>
    <fill>
      <patternFill patternType="solid">
        <fgColor rgb="FFFEF9E7"/>
        <bgColor rgb="FFFAFAFA"/>
      </patternFill>
    </fill>
    <fill>
      <patternFill patternType="solid">
        <fgColor rgb="FFEBF5FB"/>
        <bgColor rgb="FFECF0F1"/>
      </patternFill>
    </fill>
    <fill>
      <patternFill patternType="solid">
        <fgColor rgb="FFFAFAFA"/>
        <bgColor rgb="FFF8F9FA"/>
      </patternFill>
    </fill>
    <fill>
      <patternFill patternType="solid">
        <fgColor rgb="FFBDC3C7"/>
        <bgColor rgb="FFCCCCCC"/>
      </patternFill>
    </fill>
    <fill>
      <patternFill patternType="solid">
        <fgColor rgb="FFECF0F1"/>
        <bgColor rgb="FFEBF5FB"/>
      </patternFill>
    </fill>
    <fill>
      <patternFill patternType="solid">
        <fgColor rgb="FFFFFFFF"/>
        <bgColor rgb="FFFAFAFA"/>
      </patternFill>
    </fill>
    <fill>
      <patternFill patternType="solid">
        <fgColor theme="6" tint="0.79998168889431442"/>
        <bgColor rgb="FFD6EAF8"/>
      </patternFill>
    </fill>
    <fill>
      <patternFill patternType="solid">
        <fgColor theme="6" tint="0.79998168889431442"/>
        <bgColor rgb="FFD5F5E3"/>
      </patternFill>
    </fill>
  </fills>
  <borders count="7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1" fillId="12" borderId="4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1" fillId="13" borderId="4" xfId="0" applyFont="1" applyFill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/>
    </xf>
    <xf numFmtId="0" fontId="11" fillId="15" borderId="4" xfId="0" applyFont="1" applyFill="1" applyBorder="1" applyAlignment="1">
      <alignment horizontal="center" vertical="center"/>
    </xf>
    <xf numFmtId="0" fontId="11" fillId="16" borderId="4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11" fillId="17" borderId="4" xfId="0" applyFont="1" applyFill="1" applyBorder="1" applyAlignment="1">
      <alignment horizontal="center" vertical="center"/>
    </xf>
    <xf numFmtId="0" fontId="11" fillId="18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5" fillId="11" borderId="4" xfId="0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/>
    </xf>
    <xf numFmtId="0" fontId="17" fillId="24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17" fillId="25" borderId="4" xfId="0" applyFont="1" applyFill="1" applyBorder="1" applyAlignment="1">
      <alignment horizontal="center" vertical="center"/>
    </xf>
    <xf numFmtId="0" fontId="19" fillId="0" borderId="0" xfId="0" applyFont="1"/>
    <xf numFmtId="0" fontId="11" fillId="2" borderId="4" xfId="0" applyFont="1" applyFill="1" applyBorder="1" applyAlignment="1">
      <alignment horizontal="center" vertical="center" wrapText="1"/>
    </xf>
    <xf numFmtId="0" fontId="11" fillId="12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13" borderId="4" xfId="0" applyFont="1" applyFill="1" applyBorder="1" applyAlignment="1">
      <alignment horizontal="center" vertical="center" wrapText="1"/>
    </xf>
    <xf numFmtId="0" fontId="11" fillId="14" borderId="4" xfId="0" applyFont="1" applyFill="1" applyBorder="1" applyAlignment="1">
      <alignment horizontal="center" vertical="center" wrapText="1"/>
    </xf>
    <xf numFmtId="0" fontId="11" fillId="15" borderId="4" xfId="0" applyFont="1" applyFill="1" applyBorder="1" applyAlignment="1">
      <alignment horizontal="center" vertical="center" wrapText="1"/>
    </xf>
    <xf numFmtId="0" fontId="11" fillId="16" borderId="4" xfId="0" applyFont="1" applyFill="1" applyBorder="1" applyAlignment="1">
      <alignment horizontal="center" vertical="center" wrapText="1"/>
    </xf>
    <xf numFmtId="0" fontId="11" fillId="17" borderId="4" xfId="0" applyFont="1" applyFill="1" applyBorder="1" applyAlignment="1">
      <alignment horizontal="center" vertical="center" wrapText="1"/>
    </xf>
    <xf numFmtId="0" fontId="20" fillId="9" borderId="4" xfId="0" applyFont="1" applyFill="1" applyBorder="1" applyAlignment="1">
      <alignment horizontal="left" vertical="center"/>
    </xf>
    <xf numFmtId="3" fontId="21" fillId="9" borderId="4" xfId="0" applyNumberFormat="1" applyFont="1" applyFill="1" applyBorder="1" applyAlignment="1">
      <alignment horizontal="center" vertical="center"/>
    </xf>
    <xf numFmtId="0" fontId="22" fillId="9" borderId="4" xfId="0" applyFont="1" applyFill="1" applyBorder="1" applyAlignment="1">
      <alignment horizontal="center" vertical="center"/>
    </xf>
    <xf numFmtId="0" fontId="23" fillId="19" borderId="4" xfId="0" applyFont="1" applyFill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0" fontId="21" fillId="21" borderId="4" xfId="0" applyFont="1" applyFill="1" applyBorder="1" applyAlignment="1">
      <alignment horizontal="center" vertical="center" wrapText="1"/>
    </xf>
    <xf numFmtId="0" fontId="25" fillId="22" borderId="4" xfId="0" applyFont="1" applyFill="1" applyBorder="1" applyAlignment="1">
      <alignment horizontal="center" vertical="center"/>
    </xf>
    <xf numFmtId="0" fontId="26" fillId="23" borderId="4" xfId="0" applyFont="1" applyFill="1" applyBorder="1" applyAlignment="1">
      <alignment horizontal="center" vertical="center"/>
    </xf>
    <xf numFmtId="0" fontId="27" fillId="4" borderId="4" xfId="0" applyFont="1" applyFill="1" applyBorder="1" applyAlignment="1">
      <alignment horizontal="left" vertical="center" wrapText="1"/>
    </xf>
    <xf numFmtId="0" fontId="20" fillId="20" borderId="4" xfId="0" applyFont="1" applyFill="1" applyBorder="1" applyAlignment="1">
      <alignment horizontal="center" vertical="center"/>
    </xf>
    <xf numFmtId="0" fontId="28" fillId="10" borderId="4" xfId="0" applyFont="1" applyFill="1" applyBorder="1" applyAlignment="1">
      <alignment horizontal="center" vertical="center" wrapText="1"/>
    </xf>
    <xf numFmtId="0" fontId="27" fillId="10" borderId="4" xfId="0" applyFont="1" applyFill="1" applyBorder="1" applyAlignment="1">
      <alignment horizontal="left" vertical="center" wrapText="1"/>
    </xf>
    <xf numFmtId="0" fontId="11" fillId="6" borderId="4" xfId="0" applyFont="1" applyFill="1" applyBorder="1" applyAlignment="1">
      <alignment horizontal="left" vertical="center"/>
    </xf>
    <xf numFmtId="0" fontId="11" fillId="7" borderId="4" xfId="0" applyFont="1" applyFill="1" applyBorder="1" applyAlignment="1">
      <alignment horizontal="left" vertical="center"/>
    </xf>
    <xf numFmtId="0" fontId="11" fillId="8" borderId="4" xfId="0" applyFont="1" applyFill="1" applyBorder="1" applyAlignment="1">
      <alignment horizontal="left" vertical="center"/>
    </xf>
    <xf numFmtId="0" fontId="11" fillId="17" borderId="4" xfId="0" applyFont="1" applyFill="1" applyBorder="1" applyAlignment="1">
      <alignment horizontal="left" vertical="center"/>
    </xf>
    <xf numFmtId="0" fontId="11" fillId="18" borderId="4" xfId="0" applyFont="1" applyFill="1" applyBorder="1" applyAlignment="1">
      <alignment horizontal="left" vertical="center"/>
    </xf>
    <xf numFmtId="0" fontId="26" fillId="23" borderId="4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 wrapText="1"/>
    </xf>
    <xf numFmtId="0" fontId="22" fillId="0" borderId="4" xfId="0" applyFont="1" applyBorder="1" applyAlignment="1">
      <alignment horizontal="center" vertical="center"/>
    </xf>
    <xf numFmtId="0" fontId="27" fillId="0" borderId="4" xfId="0" applyFont="1" applyBorder="1" applyAlignment="1">
      <alignment horizontal="left" vertical="center" wrapText="1"/>
    </xf>
    <xf numFmtId="3" fontId="29" fillId="0" borderId="4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/>
    </xf>
    <xf numFmtId="0" fontId="31" fillId="9" borderId="4" xfId="0" applyFont="1" applyFill="1" applyBorder="1" applyAlignment="1">
      <alignment horizontal="center" vertical="center"/>
    </xf>
    <xf numFmtId="0" fontId="20" fillId="26" borderId="4" xfId="0" applyFont="1" applyFill="1" applyBorder="1" applyAlignment="1">
      <alignment horizontal="left" vertical="center"/>
    </xf>
    <xf numFmtId="0" fontId="20" fillId="27" borderId="4" xfId="0" applyFont="1" applyFill="1" applyBorder="1" applyAlignment="1">
      <alignment horizontal="left" vertical="center"/>
    </xf>
    <xf numFmtId="3" fontId="21" fillId="26" borderId="4" xfId="0" applyNumberFormat="1" applyFont="1" applyFill="1" applyBorder="1" applyAlignment="1">
      <alignment horizontal="center" vertical="center"/>
    </xf>
    <xf numFmtId="0" fontId="22" fillId="26" borderId="4" xfId="0" applyFont="1" applyFill="1" applyBorder="1" applyAlignment="1">
      <alignment horizontal="center" vertical="center"/>
    </xf>
    <xf numFmtId="3" fontId="21" fillId="27" borderId="4" xfId="0" applyNumberFormat="1" applyFont="1" applyFill="1" applyBorder="1" applyAlignment="1">
      <alignment horizontal="center" vertical="center"/>
    </xf>
    <xf numFmtId="0" fontId="22" fillId="27" borderId="4" xfId="0" applyFont="1" applyFill="1" applyBorder="1" applyAlignment="1">
      <alignment horizontal="center" vertical="center"/>
    </xf>
    <xf numFmtId="0" fontId="31" fillId="9" borderId="4" xfId="0" applyFont="1" applyFill="1" applyBorder="1" applyAlignment="1">
      <alignment horizontal="center" vertical="center" wrapText="1"/>
    </xf>
    <xf numFmtId="3" fontId="19" fillId="0" borderId="0" xfId="0" applyNumberFormat="1" applyFont="1"/>
    <xf numFmtId="0" fontId="20" fillId="9" borderId="4" xfId="0" applyFont="1" applyFill="1" applyBorder="1" applyAlignment="1">
      <alignment horizontal="left" vertical="center" wrapText="1"/>
    </xf>
    <xf numFmtId="0" fontId="32" fillId="9" borderId="4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center" wrapText="1"/>
    </xf>
    <xf numFmtId="0" fontId="11" fillId="6" borderId="4" xfId="0" applyFont="1" applyFill="1" applyBorder="1" applyAlignment="1">
      <alignment horizontal="center"/>
    </xf>
    <xf numFmtId="0" fontId="26" fillId="23" borderId="4" xfId="0" applyFont="1" applyFill="1" applyBorder="1" applyAlignment="1">
      <alignment horizontal="center"/>
    </xf>
    <xf numFmtId="0" fontId="11" fillId="7" borderId="4" xfId="0" applyFont="1" applyFill="1" applyBorder="1" applyAlignment="1">
      <alignment horizontal="center"/>
    </xf>
    <xf numFmtId="0" fontId="11" fillId="6" borderId="0" xfId="0" applyFont="1" applyFill="1" applyAlignment="1">
      <alignment horizontal="left" vertical="center"/>
    </xf>
    <xf numFmtId="0" fontId="11" fillId="7" borderId="0" xfId="0" applyFont="1" applyFill="1" applyAlignment="1">
      <alignment horizontal="left" vertical="center"/>
    </xf>
    <xf numFmtId="0" fontId="11" fillId="8" borderId="0" xfId="0" applyFont="1" applyFill="1" applyAlignment="1">
      <alignment horizontal="left" vertical="center"/>
    </xf>
    <xf numFmtId="0" fontId="11" fillId="17" borderId="0" xfId="0" applyFont="1" applyFill="1" applyAlignment="1">
      <alignment horizontal="left" vertical="center"/>
    </xf>
    <xf numFmtId="0" fontId="11" fillId="18" borderId="0" xfId="0" applyFont="1" applyFill="1" applyAlignment="1">
      <alignment horizontal="left" vertical="center"/>
    </xf>
    <xf numFmtId="0" fontId="26" fillId="23" borderId="0" xfId="0" applyFont="1" applyFill="1" applyAlignment="1">
      <alignment horizontal="left" vertical="center"/>
    </xf>
    <xf numFmtId="0" fontId="20" fillId="9" borderId="4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left" vertical="center"/>
    </xf>
    <xf numFmtId="0" fontId="11" fillId="12" borderId="3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 vertical="center" wrapText="1"/>
    </xf>
    <xf numFmtId="0" fontId="11" fillId="15" borderId="3" xfId="0" applyFont="1" applyFill="1" applyBorder="1" applyAlignment="1">
      <alignment horizontal="center" vertical="center" wrapText="1"/>
    </xf>
    <xf numFmtId="0" fontId="11" fillId="16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left" vertical="center"/>
    </xf>
    <xf numFmtId="0" fontId="4" fillId="12" borderId="3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left" vertical="center"/>
    </xf>
    <xf numFmtId="0" fontId="4" fillId="13" borderId="3" xfId="0" applyFont="1" applyFill="1" applyBorder="1" applyAlignment="1">
      <alignment horizontal="left" vertical="center"/>
    </xf>
    <xf numFmtId="0" fontId="4" fillId="14" borderId="3" xfId="0" applyFont="1" applyFill="1" applyBorder="1" applyAlignment="1">
      <alignment horizontal="left" vertical="center"/>
    </xf>
    <xf numFmtId="0" fontId="4" fillId="15" borderId="3" xfId="0" applyFont="1" applyFill="1" applyBorder="1" applyAlignment="1">
      <alignment horizontal="left" vertical="center"/>
    </xf>
    <xf numFmtId="0" fontId="4" fillId="16" borderId="3" xfId="0" applyFont="1" applyFill="1" applyBorder="1" applyAlignment="1">
      <alignment horizontal="left" vertical="center"/>
    </xf>
    <xf numFmtId="0" fontId="13" fillId="6" borderId="3" xfId="0" applyFont="1" applyFill="1" applyBorder="1" applyAlignment="1">
      <alignment horizontal="left" vertical="center"/>
    </xf>
    <xf numFmtId="0" fontId="13" fillId="7" borderId="3" xfId="0" applyFont="1" applyFill="1" applyBorder="1" applyAlignment="1">
      <alignment horizontal="left" vertical="center"/>
    </xf>
    <xf numFmtId="0" fontId="13" fillId="8" borderId="3" xfId="0" applyFont="1" applyFill="1" applyBorder="1" applyAlignment="1">
      <alignment horizontal="left" vertical="center"/>
    </xf>
    <xf numFmtId="0" fontId="13" fillId="17" borderId="3" xfId="0" applyFont="1" applyFill="1" applyBorder="1" applyAlignment="1">
      <alignment horizontal="left" vertical="center"/>
    </xf>
    <xf numFmtId="0" fontId="13" fillId="18" borderId="3" xfId="0" applyFont="1" applyFill="1" applyBorder="1" applyAlignment="1">
      <alignment horizontal="left" vertical="center"/>
    </xf>
    <xf numFmtId="0" fontId="10" fillId="8" borderId="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4" fillId="11" borderId="3" xfId="0" applyFont="1" applyFill="1" applyBorder="1" applyAlignment="1">
      <alignment horizontal="left" vertical="center"/>
    </xf>
    <xf numFmtId="0" fontId="14" fillId="11" borderId="5" xfId="0" applyFont="1" applyFill="1" applyBorder="1" applyAlignment="1">
      <alignment horizontal="left" vertical="center"/>
    </xf>
    <xf numFmtId="0" fontId="14" fillId="11" borderId="6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18" fillId="2" borderId="3" xfId="0" applyFont="1" applyFill="1" applyBorder="1" applyAlignment="1">
      <alignment horizontal="left" vertical="center"/>
    </xf>
    <xf numFmtId="0" fontId="12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392B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A6F1E"/>
      <rgbColor rgb="FF800080"/>
      <rgbColor rgb="FF117A65"/>
      <rgbColor rgb="FFBDC3C7"/>
      <rgbColor rgb="FF717D7E"/>
      <rgbColor rgb="FF9999FF"/>
      <rgbColor rgb="FF7D3C98"/>
      <rgbColor rgb="FFFEF9E7"/>
      <rgbColor rgb="FFD6EAF8"/>
      <rgbColor rgb="FF660066"/>
      <rgbColor rgb="FFFF8080"/>
      <rgbColor rgb="FF1F6FBF"/>
      <rgbColor rgb="FFCCCCCC"/>
      <rgbColor rgb="FF000080"/>
      <rgbColor rgb="FFFF00FF"/>
      <rgbColor rgb="FFFFFF00"/>
      <rgbColor rgb="FF00FFFF"/>
      <rgbColor rgb="FF800080"/>
      <rgbColor rgb="FF800000"/>
      <rgbColor rgb="FF1A6B8A"/>
      <rgbColor rgb="FF0000FF"/>
      <rgbColor rgb="FF00CCFF"/>
      <rgbColor rgb="FFEBF5FB"/>
      <rgbColor rgb="FFD5F5E3"/>
      <rgbColor rgb="FFFAFAFA"/>
      <rgbColor rgb="FFEDE7F6"/>
      <rgbColor rgb="FFECF0F1"/>
      <rgbColor rgb="FFF8F9FA"/>
      <rgbColor rgb="FFFADBD8"/>
      <rgbColor rgb="FF2E86C1"/>
      <rgbColor rgb="FF33CCCC"/>
      <rgbColor rgb="FF99CC00"/>
      <rgbColor rgb="FFFFCC00"/>
      <rgbColor rgb="FFD4AC0D"/>
      <rgbColor rgb="FFE67E22"/>
      <rgbColor rgb="FF666699"/>
      <rgbColor rgb="FF969696"/>
      <rgbColor rgb="FF1A2F50"/>
      <rgbColor rgb="FF1E8449"/>
      <rgbColor rgb="FF003300"/>
      <rgbColor rgb="FF1A1A1A"/>
      <rgbColor rgb="FFB03A2E"/>
      <rgbColor rgb="FF6C3483"/>
      <rgbColor rgb="FF1E3A5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trick Shiran" id="{93DEE37B-E846-4E6A-A78F-2C1790A0D765}" userId="S::PatrickSh@masholdings.com::59f1be47-6f3f-44bc-87e8-f1653abe4c6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1" dT="2026-05-10T16:28:27.27" personId="{93DEE37B-E846-4E6A-A78F-2C1790A0D765}" id="{44E8F6A7-4B77-4441-98EC-D4376DB50618}">
    <text xml:space="preserve">Thread Shade Pending for One Color </text>
  </threadedComment>
  <threadedComment ref="F31" dT="2026-06-07T17:24:40.04" personId="{93DEE37B-E846-4E6A-A78F-2C1790A0D765}" id="{41377209-3D5E-4ECD-A841-E967F444C72E}">
    <text>Only Two FG’s are pending - Still not received PCD’S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6FBF"/>
  </sheetPr>
  <dimension ref="A1:V55"/>
  <sheetViews>
    <sheetView showGridLines="0" zoomScale="50" zoomScaleNormal="50" workbookViewId="0">
      <pane ySplit="1" topLeftCell="A2" activePane="bottomLeft" state="frozen"/>
      <selection pane="bottomLeft" activeCell="C42" sqref="C42"/>
    </sheetView>
  </sheetViews>
  <sheetFormatPr defaultColWidth="8.54296875" defaultRowHeight="18.5" x14ac:dyDescent="0.45"/>
  <cols>
    <col min="1" max="1" width="68.1796875" style="18" customWidth="1"/>
    <col min="2" max="2" width="21.08984375" style="18" customWidth="1"/>
    <col min="3" max="3" width="19.54296875" style="18" customWidth="1"/>
    <col min="4" max="4" width="19.90625" style="18" customWidth="1"/>
    <col min="5" max="5" width="21.54296875" style="18" customWidth="1"/>
    <col min="6" max="6" width="25.54296875" style="18" customWidth="1"/>
    <col min="7" max="7" width="21" style="18" customWidth="1"/>
    <col min="8" max="8" width="20.54296875" style="18" customWidth="1"/>
    <col min="9" max="9" width="39.1796875" style="18" hidden="1" customWidth="1"/>
    <col min="10" max="10" width="16.453125" style="18" customWidth="1"/>
    <col min="11" max="11" width="18.453125" style="18" bestFit="1" customWidth="1"/>
    <col min="12" max="12" width="16.453125" style="18" bestFit="1" customWidth="1"/>
    <col min="13" max="13" width="22.54296875" style="18" customWidth="1"/>
    <col min="14" max="14" width="16.453125" style="18" bestFit="1" customWidth="1"/>
    <col min="15" max="15" width="20.453125" style="18" bestFit="1" customWidth="1"/>
    <col min="16" max="16" width="16.453125" style="18" bestFit="1" customWidth="1"/>
    <col min="17" max="17" width="20.453125" style="18" bestFit="1" customWidth="1"/>
    <col min="18" max="18" width="16.453125" style="18" bestFit="1" customWidth="1"/>
    <col min="19" max="19" width="20.453125" style="18" bestFit="1" customWidth="1"/>
    <col min="20" max="20" width="16.453125" style="18" bestFit="1" customWidth="1"/>
    <col min="21" max="21" width="15.7265625" style="18" bestFit="1" customWidth="1"/>
    <col min="22" max="22" width="35.453125" style="18" hidden="1" customWidth="1"/>
    <col min="23" max="16384" width="8.54296875" style="18"/>
  </cols>
  <sheetData>
    <row r="1" spans="1:22" ht="38.15" customHeight="1" x14ac:dyDescent="0.45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5" t="s">
        <v>1</v>
      </c>
      <c r="K1" s="75"/>
      <c r="L1" s="76" t="s">
        <v>2</v>
      </c>
      <c r="M1" s="76"/>
      <c r="N1" s="77" t="s">
        <v>3</v>
      </c>
      <c r="O1" s="77"/>
      <c r="P1" s="78" t="s">
        <v>4</v>
      </c>
      <c r="Q1" s="78"/>
      <c r="R1" s="79" t="s">
        <v>5</v>
      </c>
      <c r="S1" s="79"/>
      <c r="T1" s="80" t="s">
        <v>6</v>
      </c>
      <c r="U1" s="80"/>
      <c r="V1" s="10" t="s">
        <v>7</v>
      </c>
    </row>
    <row r="2" spans="1:22" ht="37.5" customHeight="1" x14ac:dyDescent="0.45">
      <c r="A2" s="45" t="s">
        <v>8</v>
      </c>
      <c r="B2" s="45" t="s">
        <v>141</v>
      </c>
      <c r="C2" s="19" t="s">
        <v>9</v>
      </c>
      <c r="D2" s="19" t="s">
        <v>10</v>
      </c>
      <c r="E2" s="19" t="s">
        <v>11</v>
      </c>
      <c r="F2" s="19" t="s">
        <v>12</v>
      </c>
      <c r="G2" s="19" t="s">
        <v>13</v>
      </c>
      <c r="H2" s="63" t="s">
        <v>14</v>
      </c>
      <c r="I2" s="19" t="s">
        <v>15</v>
      </c>
      <c r="J2" s="20" t="s">
        <v>16</v>
      </c>
      <c r="K2" s="20" t="s">
        <v>17</v>
      </c>
      <c r="L2" s="21" t="s">
        <v>16</v>
      </c>
      <c r="M2" s="21" t="s">
        <v>17</v>
      </c>
      <c r="N2" s="22" t="s">
        <v>16</v>
      </c>
      <c r="O2" s="22" t="s">
        <v>17</v>
      </c>
      <c r="P2" s="23" t="s">
        <v>16</v>
      </c>
      <c r="Q2" s="23" t="s">
        <v>17</v>
      </c>
      <c r="R2" s="24" t="s">
        <v>16</v>
      </c>
      <c r="S2" s="24" t="s">
        <v>17</v>
      </c>
      <c r="T2" s="25" t="s">
        <v>16</v>
      </c>
      <c r="U2" s="25" t="s">
        <v>17</v>
      </c>
      <c r="V2" s="26" t="s">
        <v>7</v>
      </c>
    </row>
    <row r="3" spans="1:22" ht="25.5" customHeight="1" x14ac:dyDescent="0.45">
      <c r="A3" s="54" t="s">
        <v>35</v>
      </c>
      <c r="B3" s="54"/>
      <c r="C3" s="57">
        <v>7713</v>
      </c>
      <c r="D3" s="58">
        <v>4</v>
      </c>
      <c r="E3" s="58">
        <v>1</v>
      </c>
      <c r="F3" s="31"/>
      <c r="G3" s="36" t="s">
        <v>36</v>
      </c>
      <c r="H3" s="64" t="s">
        <v>20</v>
      </c>
      <c r="I3" s="37" t="s">
        <v>29</v>
      </c>
      <c r="J3" s="33"/>
      <c r="K3" s="3" t="s">
        <v>22</v>
      </c>
      <c r="L3" s="33"/>
      <c r="M3" s="3" t="s">
        <v>22</v>
      </c>
      <c r="N3" s="33"/>
      <c r="O3" s="3" t="s">
        <v>22</v>
      </c>
      <c r="P3" s="33"/>
      <c r="Q3" s="3" t="s">
        <v>22</v>
      </c>
      <c r="R3" s="33"/>
      <c r="S3" s="3" t="s">
        <v>22</v>
      </c>
      <c r="T3" s="33"/>
      <c r="U3" s="3" t="s">
        <v>22</v>
      </c>
      <c r="V3" s="35" t="s">
        <v>37</v>
      </c>
    </row>
    <row r="4" spans="1:22" ht="25.5" customHeight="1" x14ac:dyDescent="0.45">
      <c r="A4" s="27" t="s">
        <v>61</v>
      </c>
      <c r="B4" s="27"/>
      <c r="C4" s="28">
        <v>20997</v>
      </c>
      <c r="D4" s="29">
        <v>74</v>
      </c>
      <c r="E4" s="29">
        <v>10</v>
      </c>
      <c r="F4" s="52">
        <v>7001473758</v>
      </c>
      <c r="G4" s="36" t="s">
        <v>135</v>
      </c>
      <c r="H4" s="3" t="s">
        <v>69</v>
      </c>
      <c r="I4" s="32"/>
      <c r="J4" s="33"/>
      <c r="K4" s="3" t="s">
        <v>22</v>
      </c>
      <c r="L4" s="33"/>
      <c r="M4" s="3" t="s">
        <v>22</v>
      </c>
      <c r="N4" s="33"/>
      <c r="O4" s="3" t="s">
        <v>22</v>
      </c>
      <c r="P4" s="33"/>
      <c r="Q4" s="3" t="s">
        <v>22</v>
      </c>
      <c r="R4" s="33"/>
      <c r="S4" s="3" t="s">
        <v>22</v>
      </c>
      <c r="T4" s="33"/>
      <c r="U4" s="3" t="s">
        <v>22</v>
      </c>
      <c r="V4" s="35"/>
    </row>
    <row r="5" spans="1:22" ht="25.5" customHeight="1" x14ac:dyDescent="0.45">
      <c r="A5" s="27" t="s">
        <v>31</v>
      </c>
      <c r="B5" s="27"/>
      <c r="C5" s="48">
        <v>46704</v>
      </c>
      <c r="D5" s="46">
        <v>28</v>
      </c>
      <c r="E5" s="46">
        <v>7</v>
      </c>
      <c r="F5" s="49">
        <v>7001445952</v>
      </c>
      <c r="G5" s="49" t="s">
        <v>32</v>
      </c>
      <c r="H5" s="64" t="s">
        <v>20</v>
      </c>
      <c r="I5" s="50" t="s">
        <v>33</v>
      </c>
      <c r="J5" s="51"/>
      <c r="K5" s="3" t="s">
        <v>22</v>
      </c>
      <c r="L5" s="51"/>
      <c r="M5" s="3" t="s">
        <v>22</v>
      </c>
      <c r="N5" s="51"/>
      <c r="O5" s="3" t="s">
        <v>22</v>
      </c>
      <c r="P5" s="51"/>
      <c r="Q5" s="3" t="s">
        <v>22</v>
      </c>
      <c r="R5" s="51"/>
      <c r="S5" s="3" t="s">
        <v>22</v>
      </c>
      <c r="T5" s="51"/>
      <c r="U5" s="3" t="s">
        <v>22</v>
      </c>
      <c r="V5" s="47" t="s">
        <v>34</v>
      </c>
    </row>
    <row r="6" spans="1:22" ht="32.15" customHeight="1" x14ac:dyDescent="0.45">
      <c r="A6" s="27" t="s">
        <v>43</v>
      </c>
      <c r="B6" s="27"/>
      <c r="C6" s="28">
        <v>1709</v>
      </c>
      <c r="D6" s="29">
        <v>9</v>
      </c>
      <c r="E6" s="29">
        <v>4</v>
      </c>
      <c r="F6" s="30">
        <v>7001452177</v>
      </c>
      <c r="G6" s="36" t="s">
        <v>44</v>
      </c>
      <c r="H6" s="64" t="s">
        <v>20</v>
      </c>
      <c r="I6" s="32" t="s">
        <v>33</v>
      </c>
      <c r="J6" s="33"/>
      <c r="K6" s="3" t="s">
        <v>22</v>
      </c>
      <c r="L6" s="33"/>
      <c r="M6" s="3" t="s">
        <v>22</v>
      </c>
      <c r="N6" s="33"/>
      <c r="O6" s="3" t="s">
        <v>22</v>
      </c>
      <c r="P6" s="33"/>
      <c r="Q6" s="3" t="s">
        <v>22</v>
      </c>
      <c r="R6" s="33"/>
      <c r="S6" s="3" t="s">
        <v>22</v>
      </c>
      <c r="T6" s="33"/>
      <c r="U6" s="3" t="s">
        <v>22</v>
      </c>
      <c r="V6" s="35" t="s">
        <v>45</v>
      </c>
    </row>
    <row r="7" spans="1:22" ht="25.5" customHeight="1" x14ac:dyDescent="0.45">
      <c r="A7" s="27" t="s">
        <v>131</v>
      </c>
      <c r="B7" s="27"/>
      <c r="C7" s="28">
        <v>13935</v>
      </c>
      <c r="D7" s="29">
        <v>3</v>
      </c>
      <c r="E7" s="29">
        <v>1</v>
      </c>
      <c r="F7" s="52">
        <v>7001479673</v>
      </c>
      <c r="G7" s="36" t="s">
        <v>136</v>
      </c>
      <c r="H7" s="3" t="s">
        <v>69</v>
      </c>
      <c r="I7" s="32"/>
      <c r="J7" s="33"/>
      <c r="K7" s="3" t="s">
        <v>22</v>
      </c>
      <c r="L7" s="33"/>
      <c r="M7" s="3" t="s">
        <v>22</v>
      </c>
      <c r="N7" s="33"/>
      <c r="O7" s="3" t="s">
        <v>22</v>
      </c>
      <c r="P7" s="33"/>
      <c r="Q7" s="3" t="s">
        <v>22</v>
      </c>
      <c r="R7" s="33"/>
      <c r="S7" s="3" t="s">
        <v>22</v>
      </c>
      <c r="T7" s="33"/>
      <c r="U7" s="3" t="s">
        <v>22</v>
      </c>
      <c r="V7" s="35"/>
    </row>
    <row r="8" spans="1:22" ht="25.5" customHeight="1" x14ac:dyDescent="0.45">
      <c r="A8" s="27" t="s">
        <v>125</v>
      </c>
      <c r="B8" s="27"/>
      <c r="C8" s="28">
        <v>31697</v>
      </c>
      <c r="D8" s="29">
        <v>15</v>
      </c>
      <c r="E8" s="29">
        <v>5</v>
      </c>
      <c r="F8" s="52">
        <v>7001462606</v>
      </c>
      <c r="G8" s="36" t="s">
        <v>121</v>
      </c>
      <c r="H8" s="64" t="s">
        <v>20</v>
      </c>
      <c r="I8" s="32"/>
      <c r="J8" s="33"/>
      <c r="K8" s="3" t="s">
        <v>22</v>
      </c>
      <c r="L8" s="33"/>
      <c r="M8" s="3" t="s">
        <v>22</v>
      </c>
      <c r="N8" s="33"/>
      <c r="O8" s="3" t="s">
        <v>22</v>
      </c>
      <c r="P8" s="33"/>
      <c r="Q8" s="3" t="s">
        <v>22</v>
      </c>
      <c r="R8" s="33"/>
      <c r="S8" s="3" t="s">
        <v>22</v>
      </c>
      <c r="T8" s="33"/>
      <c r="U8" s="34" t="s">
        <v>52</v>
      </c>
      <c r="V8" s="35"/>
    </row>
    <row r="9" spans="1:22" ht="25.5" customHeight="1" x14ac:dyDescent="0.45">
      <c r="A9" s="53" t="s">
        <v>27</v>
      </c>
      <c r="B9" s="53"/>
      <c r="C9" s="55">
        <v>25561</v>
      </c>
      <c r="D9" s="56">
        <v>24</v>
      </c>
      <c r="E9" s="56">
        <v>7</v>
      </c>
      <c r="F9" s="30">
        <v>7001443456</v>
      </c>
      <c r="G9" s="36" t="s">
        <v>28</v>
      </c>
      <c r="H9" s="64" t="s">
        <v>20</v>
      </c>
      <c r="I9" s="37" t="s">
        <v>29</v>
      </c>
      <c r="J9" s="33"/>
      <c r="K9" s="3" t="s">
        <v>22</v>
      </c>
      <c r="L9" s="33"/>
      <c r="M9" s="3" t="s">
        <v>22</v>
      </c>
      <c r="N9" s="33"/>
      <c r="O9" s="3" t="s">
        <v>22</v>
      </c>
      <c r="P9" s="33"/>
      <c r="Q9" s="3" t="s">
        <v>22</v>
      </c>
      <c r="R9" s="33"/>
      <c r="S9" s="3" t="s">
        <v>22</v>
      </c>
      <c r="T9" s="33"/>
      <c r="U9" s="3" t="s">
        <v>22</v>
      </c>
      <c r="V9" s="38" t="s">
        <v>30</v>
      </c>
    </row>
    <row r="10" spans="1:22" ht="25.5" customHeight="1" x14ac:dyDescent="0.45">
      <c r="A10" s="27" t="s">
        <v>46</v>
      </c>
      <c r="B10" s="27"/>
      <c r="C10" s="28">
        <v>25651</v>
      </c>
      <c r="D10" s="29">
        <v>16</v>
      </c>
      <c r="E10" s="29">
        <v>5</v>
      </c>
      <c r="F10" s="30">
        <v>7001452172</v>
      </c>
      <c r="G10" s="36" t="s">
        <v>47</v>
      </c>
      <c r="H10" s="64" t="s">
        <v>20</v>
      </c>
      <c r="I10" s="32" t="s">
        <v>48</v>
      </c>
      <c r="J10" s="33"/>
      <c r="K10" s="3" t="s">
        <v>22</v>
      </c>
      <c r="L10" s="33"/>
      <c r="M10" s="3" t="s">
        <v>22</v>
      </c>
      <c r="N10" s="33"/>
      <c r="O10" s="3" t="s">
        <v>22</v>
      </c>
      <c r="P10" s="33"/>
      <c r="Q10" s="3" t="s">
        <v>22</v>
      </c>
      <c r="R10" s="33"/>
      <c r="S10" s="3" t="s">
        <v>22</v>
      </c>
      <c r="T10" s="33"/>
      <c r="U10" s="3" t="s">
        <v>22</v>
      </c>
      <c r="V10" s="35" t="s">
        <v>49</v>
      </c>
    </row>
    <row r="11" spans="1:22" ht="25.5" customHeight="1" x14ac:dyDescent="0.45">
      <c r="A11" s="27" t="s">
        <v>59</v>
      </c>
      <c r="B11" s="27"/>
      <c r="C11" s="28">
        <v>54228</v>
      </c>
      <c r="D11" s="29">
        <v>110</v>
      </c>
      <c r="E11" s="29">
        <v>18</v>
      </c>
      <c r="F11" s="52">
        <v>7001474027</v>
      </c>
      <c r="G11" s="36" t="s">
        <v>143</v>
      </c>
      <c r="H11" s="3" t="s">
        <v>69</v>
      </c>
      <c r="I11" s="32"/>
      <c r="J11" s="33"/>
      <c r="K11" s="3" t="s">
        <v>22</v>
      </c>
      <c r="L11" s="33"/>
      <c r="M11" s="3" t="s">
        <v>22</v>
      </c>
      <c r="N11" s="33"/>
      <c r="O11" s="3" t="s">
        <v>22</v>
      </c>
      <c r="P11" s="33"/>
      <c r="Q11" s="3" t="s">
        <v>22</v>
      </c>
      <c r="R11" s="33"/>
      <c r="S11" s="3" t="s">
        <v>22</v>
      </c>
      <c r="T11" s="33"/>
      <c r="U11" s="3" t="s">
        <v>22</v>
      </c>
      <c r="V11" s="35"/>
    </row>
    <row r="12" spans="1:22" ht="25.5" customHeight="1" x14ac:dyDescent="0.45">
      <c r="A12" s="27" t="s">
        <v>137</v>
      </c>
      <c r="B12" s="73" t="s">
        <v>140</v>
      </c>
      <c r="C12" s="28">
        <v>5942</v>
      </c>
      <c r="D12" s="29">
        <v>12</v>
      </c>
      <c r="E12" s="29">
        <v>4</v>
      </c>
      <c r="F12" s="52">
        <v>7001488845</v>
      </c>
      <c r="G12" s="36" t="s">
        <v>139</v>
      </c>
      <c r="H12" s="66" t="s">
        <v>51</v>
      </c>
      <c r="I12" s="32"/>
      <c r="J12" s="33"/>
      <c r="K12" s="3" t="s">
        <v>22</v>
      </c>
      <c r="L12" s="33"/>
      <c r="M12" s="66" t="s">
        <v>51</v>
      </c>
      <c r="N12" s="33"/>
      <c r="O12" s="34"/>
      <c r="P12" s="33"/>
      <c r="Q12" s="34"/>
      <c r="R12" s="33"/>
      <c r="S12" s="3"/>
      <c r="T12" s="33"/>
      <c r="U12" s="34"/>
      <c r="V12" s="35"/>
    </row>
    <row r="13" spans="1:22" ht="25.5" customHeight="1" x14ac:dyDescent="0.45">
      <c r="A13" s="27" t="s">
        <v>57</v>
      </c>
      <c r="B13" s="27"/>
      <c r="C13" s="28">
        <v>19273</v>
      </c>
      <c r="D13" s="29"/>
      <c r="E13" s="29">
        <v>12</v>
      </c>
      <c r="F13" s="52">
        <v>7001462962</v>
      </c>
      <c r="G13" s="36" t="s">
        <v>122</v>
      </c>
      <c r="H13" s="64" t="s">
        <v>20</v>
      </c>
      <c r="I13" s="32"/>
      <c r="J13" s="33"/>
      <c r="K13" s="3" t="s">
        <v>22</v>
      </c>
      <c r="L13" s="33"/>
      <c r="M13" s="3" t="s">
        <v>22</v>
      </c>
      <c r="N13" s="33"/>
      <c r="O13" s="3" t="s">
        <v>22</v>
      </c>
      <c r="P13" s="33"/>
      <c r="Q13" s="3" t="s">
        <v>22</v>
      </c>
      <c r="R13" s="33"/>
      <c r="S13" s="3" t="s">
        <v>22</v>
      </c>
      <c r="T13" s="33"/>
      <c r="U13" s="3" t="s">
        <v>22</v>
      </c>
      <c r="V13" s="35"/>
    </row>
    <row r="14" spans="1:22" ht="47.15" customHeight="1" x14ac:dyDescent="0.45">
      <c r="A14" s="27" t="s">
        <v>24</v>
      </c>
      <c r="B14" s="27"/>
      <c r="C14" s="28">
        <v>46068</v>
      </c>
      <c r="D14" s="29">
        <v>40</v>
      </c>
      <c r="E14" s="29">
        <v>12</v>
      </c>
      <c r="F14" s="30">
        <v>7001449920</v>
      </c>
      <c r="G14" s="36" t="s">
        <v>25</v>
      </c>
      <c r="H14" s="64" t="s">
        <v>20</v>
      </c>
      <c r="I14" s="32" t="s">
        <v>21</v>
      </c>
      <c r="J14" s="33"/>
      <c r="K14" s="3" t="s">
        <v>22</v>
      </c>
      <c r="L14" s="33"/>
      <c r="M14" s="3" t="s">
        <v>22</v>
      </c>
      <c r="N14" s="33"/>
      <c r="O14" s="3" t="s">
        <v>22</v>
      </c>
      <c r="P14" s="33"/>
      <c r="Q14" s="3" t="s">
        <v>22</v>
      </c>
      <c r="R14" s="33"/>
      <c r="S14" s="3" t="s">
        <v>22</v>
      </c>
      <c r="T14" s="33"/>
      <c r="U14" s="3" t="s">
        <v>22</v>
      </c>
      <c r="V14" s="35" t="s">
        <v>26</v>
      </c>
    </row>
    <row r="15" spans="1:22" ht="25.5" customHeight="1" x14ac:dyDescent="0.45">
      <c r="A15" s="27" t="s">
        <v>127</v>
      </c>
      <c r="B15" s="27"/>
      <c r="C15" s="28">
        <v>7189</v>
      </c>
      <c r="D15" s="29">
        <v>11</v>
      </c>
      <c r="E15" s="29">
        <v>4</v>
      </c>
      <c r="F15" s="52">
        <v>7001477483</v>
      </c>
      <c r="G15" s="36" t="s">
        <v>128</v>
      </c>
      <c r="H15" s="64" t="s">
        <v>20</v>
      </c>
      <c r="I15" s="32" t="s">
        <v>48</v>
      </c>
      <c r="J15" s="33"/>
      <c r="K15" s="3" t="s">
        <v>22</v>
      </c>
      <c r="L15" s="33"/>
      <c r="M15" s="3" t="s">
        <v>22</v>
      </c>
      <c r="N15" s="33"/>
      <c r="O15" s="3" t="s">
        <v>22</v>
      </c>
      <c r="P15" s="33"/>
      <c r="Q15" s="3" t="s">
        <v>22</v>
      </c>
      <c r="R15" s="33"/>
      <c r="S15" s="3" t="s">
        <v>22</v>
      </c>
      <c r="T15" s="33"/>
      <c r="U15" s="3" t="s">
        <v>22</v>
      </c>
      <c r="V15" s="35"/>
    </row>
    <row r="16" spans="1:22" ht="25.5" customHeight="1" x14ac:dyDescent="0.45">
      <c r="A16" s="27" t="s">
        <v>18</v>
      </c>
      <c r="B16" s="27"/>
      <c r="C16" s="28">
        <v>23916</v>
      </c>
      <c r="D16" s="29">
        <v>45</v>
      </c>
      <c r="E16" s="29">
        <v>3</v>
      </c>
      <c r="F16" s="30">
        <v>7001446070</v>
      </c>
      <c r="G16" s="31" t="s">
        <v>19</v>
      </c>
      <c r="H16" s="64" t="s">
        <v>20</v>
      </c>
      <c r="I16" s="32" t="s">
        <v>21</v>
      </c>
      <c r="J16" s="33"/>
      <c r="K16" s="3" t="s">
        <v>22</v>
      </c>
      <c r="L16" s="33"/>
      <c r="M16" s="3" t="s">
        <v>22</v>
      </c>
      <c r="N16" s="33"/>
      <c r="O16" s="3" t="s">
        <v>22</v>
      </c>
      <c r="P16" s="33"/>
      <c r="Q16" s="3" t="s">
        <v>22</v>
      </c>
      <c r="R16" s="33"/>
      <c r="S16" s="3" t="s">
        <v>22</v>
      </c>
      <c r="T16" s="33"/>
      <c r="U16" s="3" t="s">
        <v>22</v>
      </c>
      <c r="V16" s="35" t="s">
        <v>23</v>
      </c>
    </row>
    <row r="17" spans="1:22" ht="25.5" customHeight="1" x14ac:dyDescent="0.45">
      <c r="A17" s="27" t="s">
        <v>38</v>
      </c>
      <c r="B17" s="27"/>
      <c r="C17" s="28">
        <v>8693</v>
      </c>
      <c r="D17" s="29">
        <v>32</v>
      </c>
      <c r="E17" s="29">
        <v>4</v>
      </c>
      <c r="F17" s="30">
        <v>7001447155</v>
      </c>
      <c r="G17" s="31" t="s">
        <v>19</v>
      </c>
      <c r="H17" s="64" t="s">
        <v>20</v>
      </c>
      <c r="I17" s="32" t="s">
        <v>33</v>
      </c>
      <c r="J17" s="33"/>
      <c r="K17" s="3" t="s">
        <v>22</v>
      </c>
      <c r="L17" s="33"/>
      <c r="M17" s="3" t="s">
        <v>22</v>
      </c>
      <c r="N17" s="33"/>
      <c r="O17" s="3" t="s">
        <v>22</v>
      </c>
      <c r="P17" s="33"/>
      <c r="Q17" s="3" t="s">
        <v>22</v>
      </c>
      <c r="R17" s="33"/>
      <c r="S17" s="3" t="s">
        <v>22</v>
      </c>
      <c r="T17" s="33"/>
      <c r="U17" s="3" t="s">
        <v>22</v>
      </c>
      <c r="V17" s="35" t="s">
        <v>39</v>
      </c>
    </row>
    <row r="18" spans="1:22" ht="25.5" customHeight="1" x14ac:dyDescent="0.45">
      <c r="A18" s="27" t="s">
        <v>40</v>
      </c>
      <c r="B18" s="27"/>
      <c r="C18" s="28">
        <v>477</v>
      </c>
      <c r="D18" s="29">
        <v>4</v>
      </c>
      <c r="E18" s="29">
        <v>4</v>
      </c>
      <c r="F18" s="31"/>
      <c r="G18" s="31" t="s">
        <v>19</v>
      </c>
      <c r="H18" s="64" t="s">
        <v>20</v>
      </c>
      <c r="I18" s="32" t="s">
        <v>41</v>
      </c>
      <c r="J18" s="33"/>
      <c r="K18" s="3" t="s">
        <v>22</v>
      </c>
      <c r="L18" s="33"/>
      <c r="M18" s="3" t="s">
        <v>22</v>
      </c>
      <c r="N18" s="33"/>
      <c r="O18" s="3" t="s">
        <v>22</v>
      </c>
      <c r="P18" s="33"/>
      <c r="Q18" s="3" t="s">
        <v>22</v>
      </c>
      <c r="R18" s="33"/>
      <c r="S18" s="3" t="s">
        <v>22</v>
      </c>
      <c r="T18" s="33"/>
      <c r="U18" s="3" t="s">
        <v>22</v>
      </c>
      <c r="V18" s="35" t="s">
        <v>42</v>
      </c>
    </row>
    <row r="19" spans="1:22" ht="25.5" customHeight="1" x14ac:dyDescent="0.45">
      <c r="A19" s="62" t="s">
        <v>50</v>
      </c>
      <c r="B19" s="62"/>
      <c r="C19" s="28">
        <v>9588</v>
      </c>
      <c r="D19" s="29">
        <v>29</v>
      </c>
      <c r="E19" s="29">
        <v>3</v>
      </c>
      <c r="F19" s="52">
        <v>7001453015</v>
      </c>
      <c r="G19" s="31" t="s">
        <v>19</v>
      </c>
      <c r="H19" s="64" t="s">
        <v>20</v>
      </c>
      <c r="I19" s="32" t="s">
        <v>48</v>
      </c>
      <c r="J19" s="33"/>
      <c r="K19" s="3" t="s">
        <v>22</v>
      </c>
      <c r="L19" s="33"/>
      <c r="M19" s="3" t="s">
        <v>22</v>
      </c>
      <c r="N19" s="33"/>
      <c r="O19" s="3" t="s">
        <v>22</v>
      </c>
      <c r="P19" s="33"/>
      <c r="Q19" s="3" t="s">
        <v>22</v>
      </c>
      <c r="R19" s="33"/>
      <c r="S19" s="3" t="s">
        <v>22</v>
      </c>
      <c r="T19" s="33"/>
      <c r="U19" s="34"/>
      <c r="V19" s="35" t="s">
        <v>53</v>
      </c>
    </row>
    <row r="20" spans="1:22" ht="20" customHeight="1" x14ac:dyDescent="0.45">
      <c r="A20" s="27" t="s">
        <v>54</v>
      </c>
      <c r="B20" s="27"/>
      <c r="C20" s="28">
        <v>98069</v>
      </c>
      <c r="D20" s="29">
        <v>239</v>
      </c>
      <c r="E20" s="29">
        <v>24</v>
      </c>
      <c r="F20" s="52">
        <v>7001453358</v>
      </c>
      <c r="G20" s="31"/>
      <c r="H20" s="64" t="s">
        <v>20</v>
      </c>
      <c r="I20" s="32"/>
      <c r="J20" s="33"/>
      <c r="K20" s="3" t="s">
        <v>22</v>
      </c>
      <c r="L20" s="33"/>
      <c r="M20" s="3" t="s">
        <v>22</v>
      </c>
      <c r="N20" s="33"/>
      <c r="O20" s="3" t="s">
        <v>22</v>
      </c>
      <c r="P20" s="33"/>
      <c r="Q20" s="3" t="s">
        <v>22</v>
      </c>
      <c r="R20" s="33"/>
      <c r="S20" s="3" t="s">
        <v>22</v>
      </c>
      <c r="T20" s="33"/>
      <c r="U20" s="3" t="s">
        <v>22</v>
      </c>
      <c r="V20" s="35"/>
    </row>
    <row r="21" spans="1:22" ht="34.5" customHeight="1" x14ac:dyDescent="0.45">
      <c r="A21" s="27" t="s">
        <v>55</v>
      </c>
      <c r="B21" s="27"/>
      <c r="C21" s="28">
        <v>622466</v>
      </c>
      <c r="D21" s="29">
        <v>728</v>
      </c>
      <c r="E21" s="29">
        <v>214</v>
      </c>
      <c r="F21" s="59" t="s">
        <v>148</v>
      </c>
      <c r="G21" s="31"/>
      <c r="H21" s="64" t="s">
        <v>20</v>
      </c>
      <c r="I21" s="32"/>
      <c r="J21" s="33"/>
      <c r="K21" s="3" t="s">
        <v>22</v>
      </c>
      <c r="L21" s="33"/>
      <c r="M21" s="3" t="s">
        <v>22</v>
      </c>
      <c r="N21" s="33"/>
      <c r="O21" s="3" t="s">
        <v>22</v>
      </c>
      <c r="P21" s="33"/>
      <c r="Q21" s="3" t="s">
        <v>22</v>
      </c>
      <c r="R21" s="33"/>
      <c r="S21" s="3" t="s">
        <v>22</v>
      </c>
      <c r="T21" s="33"/>
      <c r="U21" s="3" t="s">
        <v>22</v>
      </c>
      <c r="V21" s="35"/>
    </row>
    <row r="22" spans="1:22" ht="25.5" customHeight="1" x14ac:dyDescent="0.45">
      <c r="A22" s="27" t="s">
        <v>56</v>
      </c>
      <c r="B22" s="27"/>
      <c r="C22" s="28">
        <v>135883</v>
      </c>
      <c r="D22" s="29">
        <v>257</v>
      </c>
      <c r="E22" s="29">
        <v>40</v>
      </c>
      <c r="F22" s="52">
        <v>7001433766</v>
      </c>
      <c r="G22" s="31"/>
      <c r="H22" s="41" t="s">
        <v>78</v>
      </c>
      <c r="I22" s="32"/>
      <c r="J22" s="33"/>
      <c r="K22" s="41" t="s">
        <v>78</v>
      </c>
      <c r="L22" s="33"/>
      <c r="M22" s="41" t="s">
        <v>78</v>
      </c>
      <c r="N22" s="33"/>
      <c r="O22" s="41" t="s">
        <v>78</v>
      </c>
      <c r="P22" s="33"/>
      <c r="Q22" s="41" t="s">
        <v>78</v>
      </c>
      <c r="R22" s="33"/>
      <c r="S22" s="41" t="s">
        <v>78</v>
      </c>
      <c r="T22" s="33"/>
      <c r="U22" s="41" t="s">
        <v>78</v>
      </c>
      <c r="V22" s="35"/>
    </row>
    <row r="23" spans="1:22" ht="25.5" customHeight="1" x14ac:dyDescent="0.45">
      <c r="A23" s="27" t="s">
        <v>138</v>
      </c>
      <c r="B23" s="73" t="s">
        <v>140</v>
      </c>
      <c r="C23" s="28">
        <v>84194</v>
      </c>
      <c r="D23" s="29">
        <v>38</v>
      </c>
      <c r="E23" s="29">
        <v>9</v>
      </c>
      <c r="F23" s="52">
        <v>7001488586</v>
      </c>
      <c r="G23" s="36" t="s">
        <v>139</v>
      </c>
      <c r="H23" s="66" t="s">
        <v>51</v>
      </c>
      <c r="I23" s="32"/>
      <c r="J23" s="33"/>
      <c r="K23" s="3" t="s">
        <v>22</v>
      </c>
      <c r="L23" s="33"/>
      <c r="M23" s="66" t="s">
        <v>51</v>
      </c>
      <c r="N23" s="33"/>
      <c r="O23" s="34"/>
      <c r="P23" s="33"/>
      <c r="Q23" s="34"/>
      <c r="R23" s="33"/>
      <c r="S23" s="3"/>
      <c r="T23" s="33"/>
      <c r="U23" s="34"/>
      <c r="V23" s="35"/>
    </row>
    <row r="24" spans="1:22" ht="25.5" customHeight="1" x14ac:dyDescent="0.45">
      <c r="A24" s="61" t="s">
        <v>124</v>
      </c>
      <c r="B24" s="61"/>
      <c r="C24" s="28">
        <v>38532</v>
      </c>
      <c r="D24" s="29">
        <v>111</v>
      </c>
      <c r="E24" s="29">
        <v>14</v>
      </c>
      <c r="F24" s="52">
        <v>7001466707</v>
      </c>
      <c r="G24" s="31"/>
      <c r="H24" s="64" t="s">
        <v>20</v>
      </c>
      <c r="I24" s="32" t="s">
        <v>48</v>
      </c>
      <c r="J24" s="33"/>
      <c r="K24" s="3" t="s">
        <v>22</v>
      </c>
      <c r="L24" s="33"/>
      <c r="M24" s="3" t="s">
        <v>22</v>
      </c>
      <c r="N24" s="33"/>
      <c r="O24" s="3" t="s">
        <v>22</v>
      </c>
      <c r="P24" s="33"/>
      <c r="Q24" s="3" t="s">
        <v>22</v>
      </c>
      <c r="R24" s="33"/>
      <c r="S24" s="3" t="s">
        <v>22</v>
      </c>
      <c r="T24" s="33"/>
      <c r="U24" s="3" t="s">
        <v>22</v>
      </c>
      <c r="V24" s="35"/>
    </row>
    <row r="25" spans="1:22" ht="25.5" customHeight="1" x14ac:dyDescent="0.45">
      <c r="A25" s="27" t="s">
        <v>58</v>
      </c>
      <c r="B25" s="73" t="s">
        <v>140</v>
      </c>
      <c r="C25" s="28">
        <v>75891</v>
      </c>
      <c r="D25" s="29">
        <v>235</v>
      </c>
      <c r="E25" s="29">
        <v>27</v>
      </c>
      <c r="F25" s="52">
        <v>7001473550</v>
      </c>
      <c r="G25" s="36" t="s">
        <v>143</v>
      </c>
      <c r="H25" s="66" t="s">
        <v>51</v>
      </c>
      <c r="I25" s="32"/>
      <c r="J25" s="33"/>
      <c r="K25" s="3" t="s">
        <v>22</v>
      </c>
      <c r="L25" s="33"/>
      <c r="M25" s="66" t="s">
        <v>51</v>
      </c>
      <c r="N25" s="33"/>
      <c r="O25" s="34"/>
      <c r="P25" s="33"/>
      <c r="Q25" s="34"/>
      <c r="R25" s="33"/>
      <c r="S25" s="34"/>
      <c r="T25" s="33"/>
      <c r="U25" s="34"/>
      <c r="V25" s="35"/>
    </row>
    <row r="26" spans="1:22" ht="25.5" customHeight="1" x14ac:dyDescent="0.45">
      <c r="A26" s="27" t="s">
        <v>129</v>
      </c>
      <c r="B26" s="27"/>
      <c r="C26" s="28">
        <v>1485</v>
      </c>
      <c r="D26" s="29">
        <v>7</v>
      </c>
      <c r="E26" s="29">
        <v>2</v>
      </c>
      <c r="F26" s="52">
        <v>7001479510</v>
      </c>
      <c r="G26" s="31"/>
      <c r="H26" s="64" t="s">
        <v>20</v>
      </c>
      <c r="I26" s="32" t="s">
        <v>48</v>
      </c>
      <c r="J26" s="33"/>
      <c r="K26" s="3" t="s">
        <v>22</v>
      </c>
      <c r="L26" s="33"/>
      <c r="M26" s="3" t="s">
        <v>22</v>
      </c>
      <c r="N26" s="33"/>
      <c r="O26" s="3" t="s">
        <v>22</v>
      </c>
      <c r="P26" s="33"/>
      <c r="Q26" s="3" t="s">
        <v>22</v>
      </c>
      <c r="R26" s="33"/>
      <c r="S26" s="3" t="s">
        <v>22</v>
      </c>
      <c r="T26" s="33"/>
      <c r="U26" s="3" t="s">
        <v>22</v>
      </c>
      <c r="V26" s="35"/>
    </row>
    <row r="27" spans="1:22" ht="25.5" customHeight="1" x14ac:dyDescent="0.45">
      <c r="A27" s="27" t="s">
        <v>130</v>
      </c>
      <c r="B27" s="27"/>
      <c r="C27" s="28">
        <v>1715</v>
      </c>
      <c r="D27" s="29">
        <v>2</v>
      </c>
      <c r="E27" s="29">
        <v>2</v>
      </c>
      <c r="F27" s="52">
        <v>7001479503</v>
      </c>
      <c r="G27" s="31"/>
      <c r="H27" s="3" t="s">
        <v>69</v>
      </c>
      <c r="I27" s="32"/>
      <c r="J27" s="33"/>
      <c r="K27" s="3" t="s">
        <v>22</v>
      </c>
      <c r="L27" s="33"/>
      <c r="M27" s="3" t="s">
        <v>22</v>
      </c>
      <c r="N27" s="33"/>
      <c r="O27" s="3" t="s">
        <v>22</v>
      </c>
      <c r="P27" s="33"/>
      <c r="Q27" s="3" t="s">
        <v>22</v>
      </c>
      <c r="R27" s="33"/>
      <c r="S27" s="3" t="s">
        <v>22</v>
      </c>
      <c r="T27" s="33"/>
      <c r="U27" s="3" t="s">
        <v>22</v>
      </c>
      <c r="V27" s="33"/>
    </row>
    <row r="28" spans="1:22" ht="25.5" customHeight="1" x14ac:dyDescent="0.45">
      <c r="A28" s="27" t="s">
        <v>132</v>
      </c>
      <c r="B28" s="27"/>
      <c r="C28" s="28">
        <v>21025</v>
      </c>
      <c r="D28" s="29">
        <v>34</v>
      </c>
      <c r="E28" s="29">
        <v>6</v>
      </c>
      <c r="F28" s="52">
        <v>7001479505</v>
      </c>
      <c r="G28" s="31"/>
      <c r="H28" s="64" t="s">
        <v>20</v>
      </c>
      <c r="I28" s="32" t="s">
        <v>48</v>
      </c>
      <c r="J28" s="33"/>
      <c r="K28" s="3" t="s">
        <v>22</v>
      </c>
      <c r="L28" s="33"/>
      <c r="M28" s="66" t="s">
        <v>51</v>
      </c>
      <c r="N28" s="33"/>
      <c r="O28" s="65" t="s">
        <v>52</v>
      </c>
      <c r="P28" s="33"/>
      <c r="Q28" s="65" t="s">
        <v>52</v>
      </c>
      <c r="R28" s="33"/>
      <c r="S28" s="65" t="s">
        <v>52</v>
      </c>
      <c r="T28" s="33"/>
      <c r="U28" s="65" t="s">
        <v>52</v>
      </c>
      <c r="V28" s="35"/>
    </row>
    <row r="29" spans="1:22" ht="25.5" customHeight="1" x14ac:dyDescent="0.45">
      <c r="A29" s="27" t="s">
        <v>126</v>
      </c>
      <c r="B29" s="27"/>
      <c r="C29" s="28">
        <v>477362</v>
      </c>
      <c r="D29" s="29">
        <v>582</v>
      </c>
      <c r="E29" s="29">
        <v>85</v>
      </c>
      <c r="F29" s="52">
        <v>7001475267</v>
      </c>
      <c r="G29" s="36" t="s">
        <v>147</v>
      </c>
      <c r="H29" s="66" t="s">
        <v>51</v>
      </c>
      <c r="I29" s="32"/>
      <c r="J29" s="33"/>
      <c r="K29" s="3" t="s">
        <v>22</v>
      </c>
      <c r="L29" s="33"/>
      <c r="M29" s="66" t="s">
        <v>51</v>
      </c>
      <c r="N29" s="33"/>
      <c r="O29" s="34"/>
      <c r="P29" s="33"/>
      <c r="Q29" s="34"/>
      <c r="R29" s="33"/>
      <c r="S29" s="34"/>
      <c r="T29" s="33"/>
      <c r="U29" s="34"/>
      <c r="V29" s="35"/>
    </row>
    <row r="30" spans="1:22" ht="25.5" customHeight="1" x14ac:dyDescent="0.45">
      <c r="A30" s="27" t="s">
        <v>60</v>
      </c>
      <c r="B30" s="27"/>
      <c r="C30" s="28">
        <v>36679</v>
      </c>
      <c r="D30" s="29">
        <v>53</v>
      </c>
      <c r="E30" s="29">
        <v>7</v>
      </c>
      <c r="F30" s="52" t="s">
        <v>149</v>
      </c>
      <c r="G30" s="31"/>
      <c r="H30" s="65" t="s">
        <v>52</v>
      </c>
      <c r="I30" s="32"/>
      <c r="J30" s="33"/>
      <c r="K30" s="3" t="s">
        <v>22</v>
      </c>
      <c r="L30" s="33"/>
      <c r="M30" s="8"/>
      <c r="N30" s="33"/>
      <c r="O30" s="34"/>
      <c r="P30" s="33"/>
      <c r="Q30" s="34"/>
      <c r="R30" s="33"/>
      <c r="S30" s="34"/>
      <c r="T30" s="33"/>
      <c r="U30" s="34"/>
      <c r="V30" s="35"/>
    </row>
    <row r="31" spans="1:22" ht="25.5" customHeight="1" x14ac:dyDescent="0.45">
      <c r="A31" s="27" t="s">
        <v>123</v>
      </c>
      <c r="B31" s="27"/>
      <c r="C31" s="28">
        <v>8998</v>
      </c>
      <c r="D31" s="29">
        <v>31</v>
      </c>
      <c r="E31" s="29">
        <v>4</v>
      </c>
      <c r="F31" s="52">
        <v>7001474020</v>
      </c>
      <c r="G31" s="31"/>
      <c r="H31" s="65" t="s">
        <v>52</v>
      </c>
      <c r="I31" s="32"/>
      <c r="J31" s="33"/>
      <c r="K31" s="3" t="s">
        <v>22</v>
      </c>
      <c r="L31" s="33"/>
      <c r="M31" s="3" t="s">
        <v>22</v>
      </c>
      <c r="N31" s="33"/>
      <c r="O31" s="3" t="s">
        <v>22</v>
      </c>
      <c r="P31" s="33"/>
      <c r="Q31" s="3" t="s">
        <v>22</v>
      </c>
      <c r="R31" s="33"/>
      <c r="S31" s="3" t="s">
        <v>22</v>
      </c>
      <c r="T31" s="33"/>
      <c r="U31" s="34"/>
      <c r="V31" s="35"/>
    </row>
    <row r="32" spans="1:22" ht="25.5" customHeight="1" x14ac:dyDescent="0.45">
      <c r="A32" s="27" t="s">
        <v>145</v>
      </c>
      <c r="B32" s="73" t="s">
        <v>140</v>
      </c>
      <c r="C32" s="28">
        <v>62359</v>
      </c>
      <c r="D32" s="29">
        <v>161</v>
      </c>
      <c r="E32" s="29">
        <v>20</v>
      </c>
      <c r="F32" s="52">
        <v>7001480448</v>
      </c>
      <c r="G32" s="31"/>
      <c r="H32" s="65" t="s">
        <v>52</v>
      </c>
      <c r="I32" s="32"/>
      <c r="J32" s="33"/>
      <c r="K32" s="3"/>
      <c r="L32" s="33"/>
      <c r="M32" s="3"/>
      <c r="N32" s="33"/>
      <c r="O32" s="3"/>
      <c r="P32" s="33"/>
      <c r="Q32" s="3"/>
      <c r="R32" s="33"/>
      <c r="S32" s="3"/>
      <c r="T32" s="33"/>
      <c r="U32" s="34"/>
      <c r="V32" s="35"/>
    </row>
    <row r="33" spans="1:22" ht="25.5" customHeight="1" x14ac:dyDescent="0.45">
      <c r="A33" s="27" t="s">
        <v>144</v>
      </c>
      <c r="B33" s="73" t="s">
        <v>140</v>
      </c>
      <c r="C33" s="28">
        <v>15101</v>
      </c>
      <c r="D33" s="29">
        <v>76</v>
      </c>
      <c r="E33" s="29">
        <v>10</v>
      </c>
      <c r="F33" s="52">
        <v>7001480453</v>
      </c>
      <c r="G33" s="31"/>
      <c r="H33" s="65" t="s">
        <v>52</v>
      </c>
      <c r="I33" s="32"/>
      <c r="J33" s="33"/>
      <c r="K33" s="3"/>
      <c r="L33" s="33"/>
      <c r="M33" s="3"/>
      <c r="N33" s="33"/>
      <c r="O33" s="3"/>
      <c r="P33" s="33"/>
      <c r="Q33" s="3"/>
      <c r="R33" s="33"/>
      <c r="S33" s="3"/>
      <c r="T33" s="33"/>
      <c r="U33" s="34"/>
      <c r="V33" s="35"/>
    </row>
    <row r="34" spans="1:22" ht="25.5" customHeight="1" x14ac:dyDescent="0.45">
      <c r="A34" s="27" t="s">
        <v>146</v>
      </c>
      <c r="B34" s="73" t="s">
        <v>140</v>
      </c>
      <c r="C34" s="28">
        <v>62359</v>
      </c>
      <c r="D34" s="29">
        <v>81</v>
      </c>
      <c r="E34" s="29">
        <v>10</v>
      </c>
      <c r="F34" s="52">
        <v>7001480448</v>
      </c>
      <c r="G34" s="31"/>
      <c r="H34" s="65" t="s">
        <v>52</v>
      </c>
      <c r="I34" s="32"/>
      <c r="J34" s="33"/>
      <c r="K34" s="3"/>
      <c r="L34" s="33"/>
      <c r="M34" s="3"/>
      <c r="N34" s="33"/>
      <c r="O34" s="3"/>
      <c r="P34" s="33"/>
      <c r="Q34" s="3"/>
      <c r="R34" s="33"/>
      <c r="S34" s="3"/>
      <c r="T34" s="33"/>
      <c r="U34" s="34"/>
      <c r="V34" s="35"/>
    </row>
    <row r="35" spans="1:22" ht="25.5" customHeight="1" x14ac:dyDescent="0.45">
      <c r="A35" s="27" t="s">
        <v>142</v>
      </c>
      <c r="B35" s="73" t="s">
        <v>140</v>
      </c>
      <c r="C35" s="28">
        <v>37162</v>
      </c>
      <c r="D35" s="29">
        <v>81</v>
      </c>
      <c r="E35" s="29">
        <v>11</v>
      </c>
      <c r="F35" s="52">
        <v>7001491130</v>
      </c>
      <c r="G35" s="31"/>
      <c r="H35" s="65" t="s">
        <v>52</v>
      </c>
      <c r="I35" s="32"/>
      <c r="J35" s="33"/>
      <c r="K35" s="3" t="s">
        <v>22</v>
      </c>
      <c r="L35" s="33"/>
      <c r="M35" s="3"/>
      <c r="N35" s="33"/>
      <c r="O35" s="3"/>
      <c r="P35" s="33"/>
      <c r="Q35" s="3"/>
      <c r="R35" s="33"/>
      <c r="S35" s="3"/>
      <c r="T35" s="33"/>
      <c r="U35" s="34"/>
      <c r="V35" s="35"/>
    </row>
    <row r="36" spans="1:22" ht="25.5" customHeight="1" x14ac:dyDescent="0.45">
      <c r="A36" s="27" t="s">
        <v>133</v>
      </c>
      <c r="B36" s="27"/>
      <c r="C36" s="28">
        <v>451</v>
      </c>
      <c r="D36" s="29">
        <v>3</v>
      </c>
      <c r="E36" s="29">
        <v>2</v>
      </c>
      <c r="F36" s="52">
        <v>7001480457</v>
      </c>
      <c r="G36" s="31"/>
      <c r="H36" s="65" t="s">
        <v>52</v>
      </c>
      <c r="I36" s="32"/>
      <c r="J36" s="33"/>
      <c r="K36" s="3"/>
      <c r="L36" s="33"/>
      <c r="M36" s="3"/>
      <c r="N36" s="33"/>
      <c r="O36" s="3"/>
      <c r="P36" s="33"/>
      <c r="Q36" s="3"/>
      <c r="R36" s="33"/>
      <c r="S36" s="3"/>
      <c r="T36" s="33"/>
      <c r="U36" s="34"/>
      <c r="V36" s="35"/>
    </row>
    <row r="37" spans="1:22" ht="25.5" customHeight="1" x14ac:dyDescent="0.45">
      <c r="A37" s="27" t="s">
        <v>134</v>
      </c>
      <c r="B37" s="27"/>
      <c r="C37" s="28">
        <v>22986</v>
      </c>
      <c r="D37" s="29">
        <v>12</v>
      </c>
      <c r="E37" s="29">
        <v>4</v>
      </c>
      <c r="F37" s="52">
        <v>7001480455</v>
      </c>
      <c r="G37" s="31"/>
      <c r="H37" s="65" t="s">
        <v>52</v>
      </c>
      <c r="I37" s="32"/>
      <c r="J37" s="33"/>
      <c r="K37" s="3"/>
      <c r="L37" s="33"/>
      <c r="M37" s="3"/>
      <c r="N37" s="33"/>
      <c r="O37" s="3"/>
      <c r="P37" s="33"/>
      <c r="Q37" s="3"/>
      <c r="R37" s="33"/>
      <c r="S37" s="3"/>
      <c r="T37" s="33"/>
      <c r="U37" s="34"/>
      <c r="V37" s="35"/>
    </row>
    <row r="38" spans="1:22" ht="3" customHeight="1" x14ac:dyDescent="0.45">
      <c r="F38" s="18">
        <v>53358</v>
      </c>
    </row>
    <row r="39" spans="1:22" ht="27" customHeight="1" x14ac:dyDescent="0.45">
      <c r="A39" s="18">
        <f>COUNTA(A3:A37)</f>
        <v>35</v>
      </c>
      <c r="C39" s="60">
        <f>SUM(C3:C37)</f>
        <v>2152058</v>
      </c>
      <c r="E39" s="18">
        <f>COUNTIF(H3:H37,"IN PROGRESS")</f>
        <v>4</v>
      </c>
      <c r="F39" s="18">
        <f>COUNTIF(H3:H37,"BLOCKED")</f>
        <v>0</v>
      </c>
      <c r="H39" s="18">
        <f>COUNTIF(H3:H37,"COMPLETE")</f>
        <v>18</v>
      </c>
    </row>
    <row r="41" spans="1:22" ht="19.5" customHeight="1" x14ac:dyDescent="0.45">
      <c r="A41" s="74" t="s">
        <v>62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</row>
    <row r="42" spans="1:22" ht="115.5" customHeight="1" x14ac:dyDescent="0.45">
      <c r="B42" s="20" t="s">
        <v>63</v>
      </c>
      <c r="C42" s="21" t="s">
        <v>64</v>
      </c>
      <c r="D42" s="22" t="s">
        <v>65</v>
      </c>
      <c r="E42" s="23" t="s">
        <v>66</v>
      </c>
      <c r="F42" s="24" t="s">
        <v>67</v>
      </c>
    </row>
    <row r="44" spans="1:22" ht="18" customHeight="1" x14ac:dyDescent="0.45">
      <c r="A44" s="74" t="s">
        <v>68</v>
      </c>
      <c r="B44" s="74"/>
      <c r="C44" s="74"/>
      <c r="D44" s="74"/>
      <c r="E44" s="74"/>
    </row>
    <row r="45" spans="1:22" ht="15.75" customHeight="1" x14ac:dyDescent="0.45">
      <c r="A45" s="39" t="s">
        <v>69</v>
      </c>
      <c r="B45" s="67"/>
    </row>
    <row r="46" spans="1:22" ht="15.75" customHeight="1" x14ac:dyDescent="0.45">
      <c r="A46" s="40" t="s">
        <v>70</v>
      </c>
      <c r="B46" s="68"/>
    </row>
    <row r="47" spans="1:22" ht="15.75" customHeight="1" x14ac:dyDescent="0.45">
      <c r="A47" s="41" t="s">
        <v>71</v>
      </c>
      <c r="B47" s="69"/>
    </row>
    <row r="48" spans="1:22" ht="15.75" customHeight="1" x14ac:dyDescent="0.45">
      <c r="A48" s="42" t="s">
        <v>72</v>
      </c>
      <c r="B48" s="70"/>
    </row>
    <row r="49" spans="1:5" ht="15.75" customHeight="1" x14ac:dyDescent="0.45">
      <c r="A49" s="43" t="s">
        <v>73</v>
      </c>
      <c r="B49" s="71"/>
    </row>
    <row r="50" spans="1:5" ht="6" customHeight="1" x14ac:dyDescent="0.45"/>
    <row r="51" spans="1:5" ht="18" customHeight="1" x14ac:dyDescent="0.45">
      <c r="A51" s="74" t="s">
        <v>74</v>
      </c>
      <c r="B51" s="74"/>
      <c r="C51" s="74"/>
      <c r="D51" s="74"/>
      <c r="E51" s="74"/>
    </row>
    <row r="52" spans="1:5" ht="15.75" customHeight="1" x14ac:dyDescent="0.45">
      <c r="A52" s="39" t="s">
        <v>75</v>
      </c>
      <c r="B52" s="67"/>
    </row>
    <row r="53" spans="1:5" ht="15.75" customHeight="1" x14ac:dyDescent="0.45">
      <c r="A53" s="40" t="s">
        <v>76</v>
      </c>
      <c r="B53" s="68"/>
    </row>
    <row r="54" spans="1:5" ht="15.75" customHeight="1" x14ac:dyDescent="0.45">
      <c r="A54" s="44" t="s">
        <v>77</v>
      </c>
      <c r="B54" s="72"/>
    </row>
    <row r="55" spans="1:5" ht="15.75" customHeight="1" x14ac:dyDescent="0.45">
      <c r="A55" s="41" t="s">
        <v>78</v>
      </c>
      <c r="B55" s="69"/>
    </row>
  </sheetData>
  <autoFilter ref="A2:V39" xr:uid="{00000000-0001-0000-0100-000000000000}">
    <sortState xmlns:xlrd2="http://schemas.microsoft.com/office/spreadsheetml/2017/richdata2" ref="A4:V37">
      <sortCondition descending="1" ref="G2:G39"/>
    </sortState>
  </autoFilter>
  <mergeCells count="10">
    <mergeCell ref="A41:V41"/>
    <mergeCell ref="A44:E44"/>
    <mergeCell ref="A51:E51"/>
    <mergeCell ref="A1:I1"/>
    <mergeCell ref="J1:K1"/>
    <mergeCell ref="L1:M1"/>
    <mergeCell ref="N1:O1"/>
    <mergeCell ref="P1:Q1"/>
    <mergeCell ref="R1:S1"/>
    <mergeCell ref="T1:U1"/>
  </mergeCells>
  <pageMargins left="0.75" right="0.75" top="1" bottom="1" header="0.511811023622047" footer="0.511811023622047"/>
  <pageSetup paperSize="9" orientation="portrait" horizontalDpi="300" verticalDpi="300"/>
  <headerFooter>
    <oddFooter>&amp;L_x000D_&amp;1#&amp;"Aptos"&amp;10&amp;K000000 MAS | MAS Only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2F50"/>
  </sheetPr>
  <dimension ref="A1:G104"/>
  <sheetViews>
    <sheetView showGridLines="0" tabSelected="1" zoomScaleNormal="100" workbookViewId="0">
      <selection activeCell="C9" sqref="C9:C16"/>
    </sheetView>
  </sheetViews>
  <sheetFormatPr defaultColWidth="8.54296875" defaultRowHeight="14.5" x14ac:dyDescent="0.35"/>
  <cols>
    <col min="1" max="1" width="1.54296875" customWidth="1"/>
    <col min="2" max="6" width="22" customWidth="1"/>
    <col min="7" max="7" width="1.54296875" customWidth="1"/>
  </cols>
  <sheetData>
    <row r="1" spans="1:7" ht="9.75" customHeight="1" x14ac:dyDescent="0.35">
      <c r="A1" s="81"/>
      <c r="B1" s="81"/>
      <c r="C1" s="81"/>
      <c r="D1" s="81"/>
      <c r="E1" s="81"/>
      <c r="F1" s="81"/>
      <c r="G1" s="81"/>
    </row>
    <row r="2" spans="1:7" ht="31.5" customHeight="1" x14ac:dyDescent="0.35">
      <c r="A2" s="81"/>
      <c r="B2" s="81"/>
      <c r="C2" s="81"/>
      <c r="D2" s="81"/>
      <c r="E2" s="81"/>
      <c r="F2" s="81"/>
      <c r="G2" s="81"/>
    </row>
    <row r="3" spans="1:7" ht="9.75" customHeight="1" x14ac:dyDescent="0.35">
      <c r="A3" s="81"/>
      <c r="B3" s="81"/>
      <c r="C3" s="81"/>
      <c r="D3" s="81"/>
      <c r="E3" s="81"/>
      <c r="F3" s="81"/>
      <c r="G3" s="81"/>
    </row>
    <row r="4" spans="1:7" ht="13.5" customHeight="1" x14ac:dyDescent="0.35">
      <c r="A4" s="82"/>
      <c r="B4" s="82"/>
      <c r="C4" s="82"/>
      <c r="D4" s="82"/>
      <c r="E4" s="82"/>
      <c r="F4" s="82"/>
      <c r="G4" s="82"/>
    </row>
    <row r="5" spans="1:7" ht="6" customHeight="1" x14ac:dyDescent="0.35">
      <c r="A5" s="83"/>
      <c r="B5" s="83"/>
      <c r="C5" s="83"/>
      <c r="D5" s="83"/>
      <c r="E5" s="83"/>
      <c r="F5" s="83"/>
      <c r="G5" s="83"/>
    </row>
    <row r="6" spans="1:7" ht="13.5" customHeight="1" x14ac:dyDescent="0.35">
      <c r="B6" s="84" t="s">
        <v>79</v>
      </c>
      <c r="C6" s="85" t="s">
        <v>80</v>
      </c>
      <c r="D6" s="86" t="s">
        <v>81</v>
      </c>
      <c r="E6" s="87" t="s">
        <v>82</v>
      </c>
      <c r="F6" s="88" t="s">
        <v>83</v>
      </c>
    </row>
    <row r="7" spans="1:7" ht="13.5" customHeight="1" x14ac:dyDescent="0.35">
      <c r="B7" s="84"/>
      <c r="C7" s="84"/>
      <c r="D7" s="84"/>
      <c r="E7" s="84"/>
      <c r="F7" s="84"/>
    </row>
    <row r="8" spans="1:7" ht="13.5" customHeight="1" x14ac:dyDescent="0.35">
      <c r="B8" s="84"/>
      <c r="C8" s="84"/>
      <c r="D8" s="84"/>
      <c r="E8" s="84"/>
      <c r="F8" s="84"/>
    </row>
    <row r="9" spans="1:7" ht="13.5" customHeight="1" x14ac:dyDescent="0.35">
      <c r="B9" s="89">
        <f>TRACKER!A39</f>
        <v>35</v>
      </c>
      <c r="C9" s="90">
        <f>TRACKER!C39</f>
        <v>2152058</v>
      </c>
      <c r="D9" s="91">
        <f>TRACKER!D39</f>
        <v>0</v>
      </c>
      <c r="E9" s="92">
        <f>TRACKER!E39</f>
        <v>4</v>
      </c>
      <c r="F9" s="93">
        <f>TRACKER!F39</f>
        <v>0</v>
      </c>
    </row>
    <row r="10" spans="1:7" ht="35.5" customHeight="1" x14ac:dyDescent="0.35">
      <c r="B10" s="89"/>
      <c r="C10" s="89"/>
      <c r="D10" s="89"/>
      <c r="E10" s="89"/>
      <c r="F10" s="89"/>
    </row>
    <row r="11" spans="1:7" ht="0.65" customHeight="1" x14ac:dyDescent="0.35">
      <c r="B11" s="89"/>
      <c r="C11" s="89"/>
      <c r="D11" s="89"/>
      <c r="E11" s="89"/>
      <c r="F11" s="89"/>
    </row>
    <row r="12" spans="1:7" ht="12.65" hidden="1" customHeight="1" x14ac:dyDescent="0.35">
      <c r="B12" s="89"/>
      <c r="C12" s="89"/>
      <c r="D12" s="89"/>
      <c r="E12" s="89"/>
      <c r="F12" s="89"/>
    </row>
    <row r="13" spans="1:7" ht="13.5" hidden="1" customHeight="1" x14ac:dyDescent="0.35">
      <c r="B13" s="89"/>
      <c r="C13" s="89"/>
      <c r="D13" s="89"/>
      <c r="E13" s="89"/>
      <c r="F13" s="89"/>
    </row>
    <row r="14" spans="1:7" ht="13.5" hidden="1" customHeight="1" x14ac:dyDescent="0.35">
      <c r="B14" s="89"/>
      <c r="C14" s="89"/>
      <c r="D14" s="89"/>
      <c r="E14" s="89"/>
      <c r="F14" s="89"/>
    </row>
    <row r="15" spans="1:7" ht="13.5" hidden="1" customHeight="1" x14ac:dyDescent="0.35">
      <c r="B15" s="89"/>
      <c r="C15" s="89"/>
      <c r="D15" s="89"/>
      <c r="E15" s="89"/>
      <c r="F15" s="89"/>
    </row>
    <row r="16" spans="1:7" ht="13.5" hidden="1" customHeight="1" x14ac:dyDescent="0.35">
      <c r="B16" s="89"/>
      <c r="C16" s="89"/>
      <c r="D16" s="89"/>
      <c r="E16" s="89"/>
      <c r="F16" s="89"/>
    </row>
    <row r="17" spans="1:7" ht="7.5" customHeight="1" x14ac:dyDescent="0.35">
      <c r="A17" s="83"/>
      <c r="B17" s="83"/>
      <c r="C17" s="83"/>
      <c r="D17" s="83"/>
      <c r="E17" s="83"/>
      <c r="F17" s="83"/>
      <c r="G17" s="83"/>
    </row>
    <row r="18" spans="1:7" ht="21.75" customHeight="1" x14ac:dyDescent="0.35">
      <c r="B18" s="94" t="s">
        <v>84</v>
      </c>
      <c r="C18" s="94"/>
      <c r="D18" s="94"/>
      <c r="E18" s="94"/>
      <c r="F18" s="94"/>
    </row>
    <row r="19" spans="1:7" ht="6" customHeight="1" x14ac:dyDescent="0.35"/>
    <row r="20" spans="1:7" ht="21.75" customHeight="1" x14ac:dyDescent="0.35">
      <c r="B20" s="95" t="s">
        <v>85</v>
      </c>
      <c r="C20" s="95"/>
      <c r="D20" s="95"/>
      <c r="E20" s="1">
        <f>COUNTIF(TRACKER!K3:K37,"✅ DONE")</f>
        <v>29</v>
      </c>
      <c r="F20" s="2" t="s">
        <v>86</v>
      </c>
    </row>
    <row r="21" spans="1:7" ht="3.75" customHeight="1" x14ac:dyDescent="0.35">
      <c r="A21" s="83"/>
      <c r="B21" s="83"/>
      <c r="C21" s="83"/>
      <c r="D21" s="83"/>
      <c r="E21" s="83"/>
      <c r="F21" s="83"/>
      <c r="G21" s="83"/>
    </row>
    <row r="22" spans="1:7" ht="21.75" customHeight="1" x14ac:dyDescent="0.35">
      <c r="B22" s="96" t="s">
        <v>87</v>
      </c>
      <c r="C22" s="96"/>
      <c r="D22" s="96"/>
      <c r="E22" s="3">
        <f>COUNTIF(TRACKER!M3:M37,"✅ DONE")</f>
        <v>22</v>
      </c>
      <c r="F22" s="2" t="s">
        <v>86</v>
      </c>
    </row>
    <row r="23" spans="1:7" ht="3.75" customHeight="1" x14ac:dyDescent="0.35">
      <c r="A23" s="83"/>
      <c r="B23" s="83"/>
      <c r="C23" s="83"/>
      <c r="D23" s="83"/>
      <c r="E23" s="83"/>
      <c r="F23" s="83"/>
      <c r="G23" s="83"/>
    </row>
    <row r="24" spans="1:7" ht="21.75" customHeight="1" x14ac:dyDescent="0.35">
      <c r="B24" s="97" t="s">
        <v>88</v>
      </c>
      <c r="C24" s="97"/>
      <c r="D24" s="97"/>
      <c r="E24" s="4">
        <f>COUNTIF(TRACKER!O3:O37,"✅ DONE")</f>
        <v>22</v>
      </c>
      <c r="F24" s="2" t="s">
        <v>86</v>
      </c>
    </row>
    <row r="25" spans="1:7" ht="3.75" customHeight="1" x14ac:dyDescent="0.35">
      <c r="A25" s="83"/>
      <c r="B25" s="83"/>
      <c r="C25" s="83"/>
      <c r="D25" s="83"/>
      <c r="E25" s="83"/>
      <c r="F25" s="83"/>
      <c r="G25" s="83"/>
    </row>
    <row r="26" spans="1:7" ht="21.75" customHeight="1" x14ac:dyDescent="0.35">
      <c r="B26" s="98" t="s">
        <v>89</v>
      </c>
      <c r="C26" s="98"/>
      <c r="D26" s="98"/>
      <c r="E26" s="5">
        <f>COUNTIF(TRACKER!Q3:Q37,"✅ DONE")</f>
        <v>22</v>
      </c>
      <c r="F26" s="2" t="s">
        <v>86</v>
      </c>
    </row>
    <row r="27" spans="1:7" ht="3.75" customHeight="1" x14ac:dyDescent="0.35">
      <c r="A27" s="83"/>
      <c r="B27" s="83"/>
      <c r="C27" s="83"/>
      <c r="D27" s="83"/>
      <c r="E27" s="83"/>
      <c r="F27" s="83"/>
      <c r="G27" s="83"/>
    </row>
    <row r="28" spans="1:7" ht="21.75" customHeight="1" x14ac:dyDescent="0.35">
      <c r="B28" s="99" t="s">
        <v>90</v>
      </c>
      <c r="C28" s="99"/>
      <c r="D28" s="99"/>
      <c r="E28" s="6">
        <f>COUNTIF(TRACKER!S3:S37,"✅ DONE")</f>
        <v>22</v>
      </c>
      <c r="F28" s="2" t="s">
        <v>86</v>
      </c>
    </row>
    <row r="29" spans="1:7" ht="3.75" customHeight="1" x14ac:dyDescent="0.35">
      <c r="A29" s="83"/>
      <c r="B29" s="83"/>
      <c r="C29" s="83"/>
      <c r="D29" s="83"/>
      <c r="E29" s="83"/>
      <c r="F29" s="83"/>
      <c r="G29" s="83"/>
    </row>
    <row r="30" spans="1:7" ht="21.75" customHeight="1" x14ac:dyDescent="0.35">
      <c r="B30" s="100" t="s">
        <v>91</v>
      </c>
      <c r="C30" s="100"/>
      <c r="D30" s="100"/>
      <c r="E30" s="7">
        <f>COUNTIF(TRACKER!U3:U37,"🔄 IN PROGRESS")+COUNTIF(TRACKER!U3:U37,"✅ DONE")</f>
        <v>19</v>
      </c>
      <c r="F30" s="2" t="s">
        <v>86</v>
      </c>
    </row>
    <row r="31" spans="1:7" ht="3.75" customHeight="1" x14ac:dyDescent="0.35">
      <c r="A31" s="83"/>
      <c r="B31" s="83"/>
      <c r="C31" s="83"/>
      <c r="D31" s="83"/>
      <c r="E31" s="83"/>
      <c r="F31" s="83"/>
      <c r="G31" s="83"/>
    </row>
    <row r="32" spans="1:7" ht="7.5" customHeight="1" x14ac:dyDescent="0.35">
      <c r="A32" s="83"/>
      <c r="B32" s="83"/>
      <c r="C32" s="83"/>
      <c r="D32" s="83"/>
      <c r="E32" s="83"/>
      <c r="F32" s="83"/>
      <c r="G32" s="83"/>
    </row>
    <row r="33" spans="1:7" ht="21.75" customHeight="1" x14ac:dyDescent="0.35">
      <c r="B33" s="94" t="s">
        <v>92</v>
      </c>
      <c r="C33" s="94"/>
      <c r="D33" s="94"/>
      <c r="E33" s="94"/>
      <c r="F33" s="94"/>
    </row>
    <row r="34" spans="1:7" ht="6" customHeight="1" x14ac:dyDescent="0.35"/>
    <row r="35" spans="1:7" ht="21.75" customHeight="1" x14ac:dyDescent="0.35">
      <c r="B35" s="101" t="s">
        <v>69</v>
      </c>
      <c r="C35" s="101"/>
      <c r="D35" s="101"/>
      <c r="E35" s="3">
        <f>COUNTIF(TRACKER!H3:H37,"COMPLETE")</f>
        <v>18</v>
      </c>
      <c r="F35" s="2" t="s">
        <v>93</v>
      </c>
    </row>
    <row r="36" spans="1:7" ht="3.75" customHeight="1" x14ac:dyDescent="0.35">
      <c r="A36" s="83"/>
      <c r="B36" s="83"/>
      <c r="C36" s="83"/>
      <c r="D36" s="83"/>
      <c r="E36" s="83"/>
      <c r="F36" s="83"/>
      <c r="G36" s="83"/>
    </row>
    <row r="37" spans="1:7" ht="21.75" customHeight="1" x14ac:dyDescent="0.35">
      <c r="B37" s="102" t="s">
        <v>70</v>
      </c>
      <c r="C37" s="102"/>
      <c r="D37" s="102"/>
      <c r="E37" s="8">
        <f>COUNTIF(TRACKER!H3:H37,"IN PROGRESS")</f>
        <v>4</v>
      </c>
      <c r="F37" s="2" t="s">
        <v>93</v>
      </c>
    </row>
    <row r="38" spans="1:7" ht="3.75" customHeight="1" x14ac:dyDescent="0.35">
      <c r="A38" s="83"/>
      <c r="B38" s="83"/>
      <c r="C38" s="83"/>
      <c r="D38" s="83"/>
      <c r="E38" s="83"/>
      <c r="F38" s="83"/>
      <c r="G38" s="83"/>
    </row>
    <row r="39" spans="1:7" ht="21.75" customHeight="1" x14ac:dyDescent="0.35">
      <c r="B39" s="103" t="s">
        <v>71</v>
      </c>
      <c r="C39" s="103"/>
      <c r="D39" s="103"/>
      <c r="E39" s="9">
        <f>COUNTIF(TRACKER!H3:H37,"BLOCKED")</f>
        <v>0</v>
      </c>
      <c r="F39" s="2" t="s">
        <v>93</v>
      </c>
    </row>
    <row r="40" spans="1:7" ht="3.75" customHeight="1" x14ac:dyDescent="0.35">
      <c r="A40" s="83"/>
      <c r="B40" s="83"/>
      <c r="C40" s="83"/>
      <c r="D40" s="83"/>
      <c r="E40" s="83"/>
      <c r="F40" s="83"/>
      <c r="G40" s="83"/>
    </row>
    <row r="41" spans="1:7" ht="21.75" customHeight="1" x14ac:dyDescent="0.35">
      <c r="B41" s="104" t="s">
        <v>72</v>
      </c>
      <c r="C41" s="104"/>
      <c r="D41" s="104"/>
      <c r="E41" s="10">
        <f>COUNTIF(TRACKER!H3:H37,"NOT STARTED")</f>
        <v>0</v>
      </c>
      <c r="F41" s="2" t="s">
        <v>93</v>
      </c>
    </row>
    <row r="42" spans="1:7" ht="3.75" customHeight="1" x14ac:dyDescent="0.35">
      <c r="A42" s="83"/>
      <c r="B42" s="83"/>
      <c r="C42" s="83"/>
      <c r="D42" s="83"/>
      <c r="E42" s="83"/>
      <c r="F42" s="83"/>
      <c r="G42" s="83"/>
    </row>
    <row r="43" spans="1:7" ht="21.75" customHeight="1" x14ac:dyDescent="0.35">
      <c r="B43" s="105" t="s">
        <v>73</v>
      </c>
      <c r="C43" s="105"/>
      <c r="D43" s="105"/>
      <c r="E43" s="11">
        <f>COUNTIF(TRACKER!H3:H37,"OVERDUE")</f>
        <v>0</v>
      </c>
      <c r="F43" s="2" t="s">
        <v>93</v>
      </c>
    </row>
    <row r="44" spans="1:7" ht="3.75" customHeight="1" x14ac:dyDescent="0.35">
      <c r="A44" s="83"/>
      <c r="B44" s="83"/>
      <c r="C44" s="83"/>
      <c r="D44" s="83"/>
      <c r="E44" s="83"/>
      <c r="F44" s="83"/>
      <c r="G44" s="83"/>
    </row>
    <row r="45" spans="1:7" ht="7.5" customHeight="1" x14ac:dyDescent="0.35">
      <c r="A45" s="83"/>
      <c r="B45" s="83"/>
      <c r="C45" s="83"/>
      <c r="D45" s="83"/>
      <c r="E45" s="83"/>
      <c r="F45" s="83"/>
      <c r="G45" s="83"/>
    </row>
    <row r="46" spans="1:7" ht="3.75" customHeight="1" x14ac:dyDescent="0.35">
      <c r="A46" s="83"/>
      <c r="B46" s="83"/>
      <c r="C46" s="83"/>
      <c r="D46" s="83"/>
      <c r="E46" s="83"/>
      <c r="F46" s="83"/>
      <c r="G46" s="83"/>
    </row>
    <row r="47" spans="1:7" ht="3.75" customHeight="1" x14ac:dyDescent="0.35">
      <c r="A47" s="83"/>
      <c r="B47" s="83"/>
      <c r="C47" s="83"/>
      <c r="D47" s="83"/>
      <c r="E47" s="83"/>
      <c r="F47" s="83"/>
      <c r="G47" s="83"/>
    </row>
    <row r="48" spans="1:7" ht="3.75" customHeight="1" x14ac:dyDescent="0.35">
      <c r="A48" s="83"/>
      <c r="B48" s="83"/>
      <c r="C48" s="83"/>
      <c r="D48" s="83"/>
      <c r="E48" s="83"/>
      <c r="F48" s="83"/>
      <c r="G48" s="83"/>
    </row>
    <row r="49" spans="1:7" ht="7.5" customHeight="1" x14ac:dyDescent="0.35">
      <c r="A49" s="83"/>
      <c r="B49" s="83"/>
      <c r="C49" s="83"/>
      <c r="D49" s="83"/>
      <c r="E49" s="83"/>
      <c r="F49" s="83"/>
      <c r="G49" s="83"/>
    </row>
    <row r="50" spans="1:7" ht="21.75" customHeight="1" x14ac:dyDescent="0.35">
      <c r="B50" s="106" t="s">
        <v>94</v>
      </c>
      <c r="C50" s="106"/>
      <c r="D50" s="106"/>
      <c r="E50" s="106"/>
      <c r="F50" s="106"/>
    </row>
    <row r="51" spans="1:7" ht="6" customHeight="1" x14ac:dyDescent="0.35"/>
    <row r="52" spans="1:7" ht="18" customHeight="1" x14ac:dyDescent="0.35">
      <c r="B52" s="107" t="s">
        <v>95</v>
      </c>
      <c r="C52" s="107"/>
      <c r="D52" s="107"/>
      <c r="E52" s="12" t="s">
        <v>96</v>
      </c>
      <c r="F52" s="12" t="s">
        <v>17</v>
      </c>
    </row>
    <row r="53" spans="1:7" ht="18" customHeight="1" x14ac:dyDescent="0.35">
      <c r="B53" s="108" t="s">
        <v>97</v>
      </c>
      <c r="C53" s="109"/>
      <c r="D53" s="110"/>
      <c r="E53" s="13" t="s">
        <v>98</v>
      </c>
      <c r="F53" s="14" t="s">
        <v>99</v>
      </c>
    </row>
    <row r="54" spans="1:7" ht="18" customHeight="1" x14ac:dyDescent="0.35">
      <c r="B54" s="111" t="s">
        <v>100</v>
      </c>
      <c r="C54" s="111"/>
      <c r="D54" s="111"/>
      <c r="E54" s="111"/>
      <c r="F54" s="111"/>
    </row>
    <row r="55" spans="1:7" ht="18" customHeight="1" x14ac:dyDescent="0.35"/>
    <row r="56" spans="1:7" ht="18" customHeight="1" x14ac:dyDescent="0.35"/>
    <row r="57" spans="1:7" ht="18" customHeight="1" x14ac:dyDescent="0.35"/>
    <row r="58" spans="1:7" ht="18" customHeight="1" x14ac:dyDescent="0.35"/>
    <row r="59" spans="1:7" ht="18" customHeight="1" x14ac:dyDescent="0.35"/>
    <row r="60" spans="1:7" ht="18" customHeight="1" x14ac:dyDescent="0.35"/>
    <row r="61" spans="1:7" ht="18" customHeight="1" x14ac:dyDescent="0.35"/>
    <row r="62" spans="1:7" ht="18" customHeight="1" x14ac:dyDescent="0.35"/>
    <row r="63" spans="1:7" ht="18" customHeight="1" x14ac:dyDescent="0.35"/>
    <row r="64" spans="1:7" ht="18" customHeight="1" x14ac:dyDescent="0.35"/>
    <row r="65" ht="18" customHeight="1" x14ac:dyDescent="0.35"/>
    <row r="66" ht="18" customHeight="1" x14ac:dyDescent="0.35"/>
    <row r="67" ht="18" customHeight="1" x14ac:dyDescent="0.35"/>
    <row r="68" ht="18" customHeight="1" x14ac:dyDescent="0.35"/>
    <row r="69" ht="18" customHeight="1" x14ac:dyDescent="0.35"/>
    <row r="70" ht="18" customHeight="1" x14ac:dyDescent="0.35"/>
    <row r="71" ht="18" customHeight="1" x14ac:dyDescent="0.35"/>
    <row r="72" ht="18" customHeight="1" x14ac:dyDescent="0.35"/>
    <row r="73" ht="18" customHeight="1" x14ac:dyDescent="0.35"/>
    <row r="74" ht="18" customHeight="1" x14ac:dyDescent="0.35"/>
    <row r="75" ht="18" customHeight="1" x14ac:dyDescent="0.35"/>
    <row r="76" ht="18" customHeight="1" x14ac:dyDescent="0.35"/>
    <row r="77" ht="18" customHeight="1" x14ac:dyDescent="0.35"/>
    <row r="78" ht="18" customHeight="1" x14ac:dyDescent="0.35"/>
    <row r="79" ht="18" customHeight="1" x14ac:dyDescent="0.35"/>
    <row r="80" ht="18" customHeight="1" x14ac:dyDescent="0.35"/>
    <row r="81" ht="18" customHeight="1" x14ac:dyDescent="0.35"/>
    <row r="82" ht="18" customHeight="1" x14ac:dyDescent="0.35"/>
    <row r="83" ht="18" customHeight="1" x14ac:dyDescent="0.35"/>
    <row r="84" ht="18" customHeight="1" x14ac:dyDescent="0.35"/>
    <row r="85" ht="18" customHeight="1" x14ac:dyDescent="0.35"/>
    <row r="86" ht="18" customHeight="1" x14ac:dyDescent="0.35"/>
    <row r="87" ht="18" customHeight="1" x14ac:dyDescent="0.35"/>
    <row r="88" ht="18" customHeight="1" x14ac:dyDescent="0.35"/>
    <row r="89" ht="18" customHeight="1" x14ac:dyDescent="0.35"/>
    <row r="90" ht="18" customHeight="1" x14ac:dyDescent="0.35"/>
    <row r="91" ht="18" customHeight="1" x14ac:dyDescent="0.35"/>
    <row r="92" ht="18" customHeight="1" x14ac:dyDescent="0.35"/>
    <row r="93" ht="18" customHeight="1" x14ac:dyDescent="0.35"/>
    <row r="94" ht="18" customHeight="1" x14ac:dyDescent="0.35"/>
    <row r="95" ht="18" customHeight="1" x14ac:dyDescent="0.35"/>
    <row r="96" ht="18" customHeight="1" x14ac:dyDescent="0.35"/>
    <row r="97" ht="18" customHeight="1" x14ac:dyDescent="0.35"/>
    <row r="98" ht="18" customHeight="1" x14ac:dyDescent="0.35"/>
    <row r="99" ht="18" customHeight="1" x14ac:dyDescent="0.35"/>
    <row r="100" ht="18" customHeight="1" x14ac:dyDescent="0.35"/>
    <row r="101" ht="18" customHeight="1" x14ac:dyDescent="0.35"/>
    <row r="102" ht="18" customHeight="1" x14ac:dyDescent="0.35"/>
    <row r="103" ht="18" customHeight="1" x14ac:dyDescent="0.35"/>
    <row r="104" ht="18" customHeight="1" x14ac:dyDescent="0.35"/>
  </sheetData>
  <mergeCells count="48">
    <mergeCell ref="B53:D53"/>
    <mergeCell ref="B54:F54"/>
    <mergeCell ref="A47:G47"/>
    <mergeCell ref="A48:G48"/>
    <mergeCell ref="A49:G49"/>
    <mergeCell ref="A44:G44"/>
    <mergeCell ref="A45:G45"/>
    <mergeCell ref="A46:G46"/>
    <mergeCell ref="B50:F50"/>
    <mergeCell ref="B52:D52"/>
    <mergeCell ref="B39:D39"/>
    <mergeCell ref="A40:G40"/>
    <mergeCell ref="B41:D41"/>
    <mergeCell ref="A42:G42"/>
    <mergeCell ref="B43:D43"/>
    <mergeCell ref="B33:F33"/>
    <mergeCell ref="B35:D35"/>
    <mergeCell ref="A36:G36"/>
    <mergeCell ref="B37:D37"/>
    <mergeCell ref="A38:G38"/>
    <mergeCell ref="B28:D28"/>
    <mergeCell ref="A29:G29"/>
    <mergeCell ref="B30:D30"/>
    <mergeCell ref="A31:G31"/>
    <mergeCell ref="A32:G32"/>
    <mergeCell ref="A23:G23"/>
    <mergeCell ref="B24:D24"/>
    <mergeCell ref="A25:G25"/>
    <mergeCell ref="B26:D26"/>
    <mergeCell ref="A27:G27"/>
    <mergeCell ref="A17:G17"/>
    <mergeCell ref="B18:F18"/>
    <mergeCell ref="B20:D20"/>
    <mergeCell ref="A21:G21"/>
    <mergeCell ref="B22:D22"/>
    <mergeCell ref="B9:B16"/>
    <mergeCell ref="C9:C16"/>
    <mergeCell ref="D9:D16"/>
    <mergeCell ref="E9:E16"/>
    <mergeCell ref="F9:F16"/>
    <mergeCell ref="A1:G3"/>
    <mergeCell ref="A4:G4"/>
    <mergeCell ref="A5:G5"/>
    <mergeCell ref="B6:B8"/>
    <mergeCell ref="C6:C8"/>
    <mergeCell ref="D6:D8"/>
    <mergeCell ref="E6:E8"/>
    <mergeCell ref="F6:F8"/>
  </mergeCells>
  <pageMargins left="0.75" right="0.75" top="1" bottom="1" header="0.511811023622047" footer="0.511811023622047"/>
  <pageSetup paperSize="9" orientation="portrait" horizontalDpi="300" verticalDpi="300"/>
  <headerFooter>
    <oddFooter>&amp;L_x000D_&amp;1#&amp;"Aptos"&amp;10&amp;K000000 MAS | MAS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17D7E"/>
  </sheetPr>
  <dimension ref="A1:K10"/>
  <sheetViews>
    <sheetView showGridLines="0" zoomScaleNormal="100" workbookViewId="0">
      <selection sqref="A1:K1"/>
    </sheetView>
  </sheetViews>
  <sheetFormatPr defaultColWidth="8.54296875" defaultRowHeight="14.5" x14ac:dyDescent="0.35"/>
  <cols>
    <col min="1" max="1" width="14" customWidth="1"/>
    <col min="2" max="2" width="8" customWidth="1"/>
    <col min="3" max="4" width="10" customWidth="1"/>
    <col min="5" max="5" width="14" customWidth="1"/>
    <col min="6" max="6" width="8" customWidth="1"/>
    <col min="7" max="7" width="6" customWidth="1"/>
    <col min="8" max="9" width="10" customWidth="1"/>
    <col min="10" max="11" width="8" customWidth="1"/>
  </cols>
  <sheetData>
    <row r="1" spans="1:11" ht="25.5" customHeight="1" x14ac:dyDescent="0.35">
      <c r="A1" s="112" t="s">
        <v>101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</row>
    <row r="2" spans="1:11" ht="21.75" customHeight="1" x14ac:dyDescent="0.35">
      <c r="A2" s="16" t="s">
        <v>102</v>
      </c>
      <c r="B2" s="16" t="s">
        <v>103</v>
      </c>
      <c r="C2" s="16" t="s">
        <v>104</v>
      </c>
      <c r="D2" s="16" t="s">
        <v>105</v>
      </c>
      <c r="E2" s="16" t="s">
        <v>106</v>
      </c>
      <c r="F2" s="16" t="s">
        <v>107</v>
      </c>
      <c r="G2" s="16"/>
      <c r="H2" s="16" t="s">
        <v>108</v>
      </c>
      <c r="I2" s="16" t="s">
        <v>109</v>
      </c>
      <c r="J2" s="16" t="s">
        <v>110</v>
      </c>
      <c r="K2" s="16" t="s">
        <v>111</v>
      </c>
    </row>
    <row r="3" spans="1:11" ht="18" customHeight="1" x14ac:dyDescent="0.35">
      <c r="A3" s="17">
        <v>1001617763</v>
      </c>
      <c r="B3" s="17">
        <v>10</v>
      </c>
      <c r="C3" s="17"/>
      <c r="D3" s="17" t="s">
        <v>112</v>
      </c>
      <c r="E3" s="17" t="s">
        <v>113</v>
      </c>
      <c r="F3" s="17" t="s">
        <v>114</v>
      </c>
      <c r="G3" s="17">
        <v>448</v>
      </c>
      <c r="H3" s="17"/>
      <c r="I3" s="17"/>
      <c r="J3" s="17"/>
      <c r="K3" s="17"/>
    </row>
    <row r="4" spans="1:11" ht="18" customHeight="1" x14ac:dyDescent="0.35">
      <c r="A4" s="15" t="s">
        <v>115</v>
      </c>
      <c r="B4" s="15" t="s">
        <v>116</v>
      </c>
      <c r="C4" s="15" t="s">
        <v>117</v>
      </c>
      <c r="D4" s="15" t="s">
        <v>117</v>
      </c>
      <c r="E4" s="15">
        <v>1001617764</v>
      </c>
      <c r="F4" s="15">
        <v>10</v>
      </c>
      <c r="G4" s="15"/>
      <c r="H4" s="15" t="s">
        <v>112</v>
      </c>
      <c r="I4" s="15" t="s">
        <v>118</v>
      </c>
      <c r="J4" s="15" t="s">
        <v>114</v>
      </c>
      <c r="K4" s="15">
        <v>117</v>
      </c>
    </row>
    <row r="5" spans="1:11" ht="18" customHeight="1" x14ac:dyDescent="0.35">
      <c r="A5" s="17" t="s">
        <v>115</v>
      </c>
      <c r="B5" s="17" t="s">
        <v>116</v>
      </c>
      <c r="C5" s="17" t="s">
        <v>119</v>
      </c>
      <c r="D5" s="17" t="s">
        <v>119</v>
      </c>
      <c r="E5" s="17">
        <v>1001617766</v>
      </c>
      <c r="F5" s="17">
        <v>10</v>
      </c>
      <c r="G5" s="17"/>
      <c r="H5" s="17" t="s">
        <v>112</v>
      </c>
      <c r="I5" s="17" t="s">
        <v>118</v>
      </c>
      <c r="J5" s="17" t="s">
        <v>114</v>
      </c>
      <c r="K5" s="17">
        <v>623</v>
      </c>
    </row>
    <row r="6" spans="1:11" ht="18" customHeight="1" x14ac:dyDescent="0.35">
      <c r="A6" s="15" t="s">
        <v>115</v>
      </c>
      <c r="B6" s="15" t="s">
        <v>116</v>
      </c>
      <c r="C6" s="15" t="s">
        <v>119</v>
      </c>
      <c r="D6" s="15" t="s">
        <v>119</v>
      </c>
      <c r="E6" s="15">
        <v>1001617767</v>
      </c>
      <c r="F6" s="15">
        <v>10</v>
      </c>
      <c r="G6" s="15"/>
      <c r="H6" s="15" t="s">
        <v>112</v>
      </c>
      <c r="I6" s="15" t="s">
        <v>118</v>
      </c>
      <c r="J6" s="15" t="s">
        <v>114</v>
      </c>
      <c r="K6" s="15">
        <v>410</v>
      </c>
    </row>
    <row r="7" spans="1:11" ht="18" customHeight="1" x14ac:dyDescent="0.35">
      <c r="A7" s="17" t="s">
        <v>115</v>
      </c>
      <c r="B7" s="17" t="s">
        <v>116</v>
      </c>
      <c r="C7" s="17" t="s">
        <v>119</v>
      </c>
      <c r="D7" s="17" t="s">
        <v>119</v>
      </c>
      <c r="E7" s="17">
        <v>1001617762</v>
      </c>
      <c r="F7" s="17">
        <v>10</v>
      </c>
      <c r="G7" s="17"/>
      <c r="H7" s="17" t="s">
        <v>112</v>
      </c>
      <c r="I7" s="17" t="s">
        <v>118</v>
      </c>
      <c r="J7" s="17" t="s">
        <v>114</v>
      </c>
      <c r="K7" s="17">
        <v>185</v>
      </c>
    </row>
    <row r="8" spans="1:11" ht="18" customHeight="1" x14ac:dyDescent="0.35">
      <c r="A8" s="15"/>
      <c r="B8" s="15"/>
      <c r="C8" s="15"/>
      <c r="D8" s="15"/>
      <c r="E8" s="15">
        <v>1001617763</v>
      </c>
      <c r="F8" s="15"/>
      <c r="G8" s="15"/>
      <c r="H8" s="15"/>
      <c r="I8" s="15"/>
      <c r="J8" s="15"/>
      <c r="K8" s="15"/>
    </row>
    <row r="10" spans="1:11" x14ac:dyDescent="0.35">
      <c r="A10" s="113" t="s">
        <v>120</v>
      </c>
      <c r="B10" s="113"/>
      <c r="C10" s="113"/>
      <c r="D10" s="113"/>
      <c r="E10" s="113"/>
      <c r="F10" s="113"/>
    </row>
  </sheetData>
  <mergeCells count="2">
    <mergeCell ref="A1:K1"/>
    <mergeCell ref="A10:F10"/>
  </mergeCells>
  <pageMargins left="0.75" right="0.75" top="1" bottom="1" header="0.511811023622047" footer="0.511811023622047"/>
  <pageSetup paperSize="9" orientation="portrait" horizontalDpi="300" verticalDpi="300"/>
  <headerFooter>
    <oddFooter>&amp;L_x000D_&amp;1#&amp;"Aptos"&amp;10&amp;K000000 MAS | MAS Only</oddFooter>
  </headerFooter>
</worksheet>
</file>

<file path=docMetadata/LabelInfo.xml><?xml version="1.0" encoding="utf-8"?>
<clbl:labelList xmlns:clbl="http://schemas.microsoft.com/office/2020/mipLabelMetadata">
  <clbl:label id="{af926f27-653d-49b5-a458-2176741aa4ba}" enabled="1" method="Standard" siteId="{852c5799-8134-4f15-9d38-eba4296cc76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TRACKER</vt:lpstr>
      <vt:lpstr>DASHBOARD</vt:lpstr>
      <vt:lpstr>REFERENCE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Patrick Shiran</cp:lastModifiedBy>
  <cp:revision>0</cp:revision>
  <dcterms:created xsi:type="dcterms:W3CDTF">2026-03-18T04:55:57Z</dcterms:created>
  <dcterms:modified xsi:type="dcterms:W3CDTF">2026-08-10T03:49:07Z</dcterms:modified>
  <cp:category/>
  <cp:contentStatus/>
</cp:coreProperties>
</file>